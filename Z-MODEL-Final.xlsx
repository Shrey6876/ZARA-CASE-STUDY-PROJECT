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reyjain/Downloads/RESUME/ZARA-CASE-STUDY/"/>
    </mc:Choice>
  </mc:AlternateContent>
  <xr:revisionPtr revIDLastSave="0" documentId="13_ncr:1_{3CBBA551-A23F-4240-BC27-8B88A72B578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Insights" sheetId="5" r:id="rId1"/>
    <sheet name="Financial Summary" sheetId="1" r:id="rId2"/>
    <sheet name="Key Metrics" sheetId="2" r:id="rId3"/>
    <sheet name="Operational Efficiency" sheetId="3" r:id="rId4"/>
    <sheet name="CAGR (3-Year Rolling)" sheetId="6" r:id="rId5"/>
    <sheet name="Valuation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7" l="1"/>
  <c r="D16" i="7"/>
  <c r="D17" i="7"/>
  <c r="D14" i="7"/>
  <c r="C15" i="7"/>
  <c r="C16" i="7"/>
  <c r="C17" i="7"/>
  <c r="C14" i="7"/>
  <c r="B5" i="7"/>
  <c r="B7" i="7" s="1"/>
  <c r="B8" i="7" s="1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</calcChain>
</file>

<file path=xl/sharedStrings.xml><?xml version="1.0" encoding="utf-8"?>
<sst xmlns="http://schemas.openxmlformats.org/spreadsheetml/2006/main" count="209" uniqueCount="156">
  <si>
    <t>All figures in millions of euros unless otherwise noted</t>
  </si>
  <si>
    <t>Fiscal Year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</si>
  <si>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</si>
  <si>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</si>
  <si>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</si>
  <si>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</si>
  <si>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</si>
  <si>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</si>
  <si>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</si>
  <si>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</si>
  <si>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</si>
  <si>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</si>
  <si>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</si>
  <si>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</si>
  <si>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</si>
  <si>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</si>
  <si>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</si>
  <si>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</si>
  <si>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</si>
  <si>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</si>
  <si>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</si>
  <si>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</si>
  <si>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</si>
  <si>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</si>
  <si>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</si>
  <si>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</si>
  <si>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</si>
  <si>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Net Sales (€M)</t>
  </si>
  <si>
    <t>EBITDA (€M)</t>
  </si>
  <si>
    <t>EBIT (€M)</t>
  </si>
  <si>
    <t>Net Income (€M)</t>
  </si>
  <si>
    <t>Shareholders Equity (€M)</t>
  </si>
  <si>
    <t>Total Assets (€M)</t>
  </si>
  <si>
    <t>Stores</t>
  </si>
  <si>
    <t>Employees</t>
  </si>
  <si>
    <t>COVID IMPACT</t>
  </si>
  <si>
    <t>INDITEX GROUP - COMPREHENSIVE FINANCIAL MODEL (2000-2024)</t>
  </si>
  <si>
    <t>Year</t>
  </si>
  <si>
    <t>Revenue Growth %</t>
  </si>
  <si>
    <t>EBITDA Margin %</t>
  </si>
  <si>
    <t>Net Margin %</t>
  </si>
  <si>
    <t>ROE %</t>
  </si>
  <si>
    <t>Sales per Store (€M)</t>
  </si>
  <si>
    <t>Sales per Employee (€K)</t>
  </si>
  <si>
    <t>ROIC %</t>
  </si>
  <si>
    <t>Asset Turnover</t>
  </si>
  <si>
    <t>OPERATIONAL &amp; CAPITAL EFFICIENCY METRICS</t>
  </si>
  <si>
    <t>Metric</t>
  </si>
  <si>
    <t>KEY STRATEGIC PHASES</t>
  </si>
  <si>
    <t>PHASE 1: EUROPEAN EXPANSION (2000-2007)</t>
  </si>
  <si>
    <t>Period Performance</t>
  </si>
  <si>
    <t>Revenue Growth</t>
  </si>
  <si>
    <t>Key Initiatives</t>
  </si>
  <si>
    <t>Store Growth</t>
  </si>
  <si>
    <t>EBITDA Margin</t>
  </si>
  <si>
    <t>Critical Success Factor</t>
  </si>
  <si>
    <t>PHASE 2: GLOBAL DIVERSIFICATION (2008-2015)</t>
  </si>
  <si>
    <t>PHASE 3: DIGITAL TRANSFORMATION (2016-2019)</t>
  </si>
  <si>
    <t>PHASE 4: COVID RECOVERY &amp; ACCELERATION (2020-2024)</t>
  </si>
  <si>
    <t>KEY PERFORMANCE DRIVERS</t>
  </si>
  <si>
    <t>1. MARGIN EXPANSION</t>
  </si>
  <si>
    <t>2. CAPITAL EFFICIENCY</t>
  </si>
  <si>
    <t>3. OPERATIONAL SCALE</t>
  </si>
  <si>
    <t>4. TALENT LEVERAGE</t>
  </si>
  <si>
    <t>COMPETITIVE ADVANTAGES</t>
  </si>
  <si>
    <t>✓ Vertical Integration</t>
  </si>
  <si>
    <t>✓ JIT Supply Chain</t>
  </si>
  <si>
    <t>✓ Data-Driven Design</t>
  </si>
  <si>
    <t>✓ Real Estate Strategy</t>
  </si>
  <si>
    <t>RISKS &amp; CHALLENGES</t>
  </si>
  <si>
    <t>1. Geographic Concentration</t>
  </si>
  <si>
    <t>2. Fast Fashion Sustainability</t>
  </si>
  <si>
    <t>3. E-commerce Penetration</t>
  </si>
  <si>
    <t>4. Labor Cost Inflation</t>
  </si>
  <si>
    <t>5. Digital Native Competitors</t>
  </si>
  <si>
    <t>2000-2007</t>
  </si>
  <si>
    <t>3.6x (€2.6B to €9.4B)</t>
  </si>
  <si>
    <t>IPO (2001), Multi-brand strategy (Pull&amp;Bear, Massimo Dutti, Bershka)</t>
  </si>
  <si>
    <t>1,080 to 3,121 (+189%)</t>
  </si>
  <si>
    <t>19.9% to 22.0% (stable)</t>
  </si>
  <si>
    <t>Vertical integration + JIT supply chain = competitive moat</t>
  </si>
  <si>
    <t>2008-2015</t>
  </si>
  <si>
    <t>2.0x (€10.4B to €20.9B)</t>
  </si>
  <si>
    <t>Asia expansion, new formats (Oysho, Zara Home), E-commerce launch</t>
  </si>
  <si>
    <t>3,691 to 7,906 (+114%)</t>
  </si>
  <si>
    <t>21.9% to 26.5% (22% improvement)</t>
  </si>
  <si>
    <t>Multi-channel strategy + emerging market penetration</t>
  </si>
  <si>
    <t>2016-2019</t>
  </si>
  <si>
    <t>1.2x (€23.3B to €28.3B)</t>
  </si>
  <si>
    <t>Omnichannel integration, online sales expansion (Zara.com, local markets)</t>
  </si>
  <si>
    <t>8,443 to 10,125 (+20%)</t>
  </si>
  <si>
    <t>26.4% to 27.4% (plateau)</t>
  </si>
  <si>
    <t>Store productivity + digital experience = profitable growth</t>
  </si>
  <si>
    <t>2020-2024</t>
  </si>
  <si>
    <t>1.8x (€20.9B to €38.2B)</t>
  </si>
  <si>
    <t>Accelerated digital, store format innovation, Asian market consolidation</t>
  </si>
  <si>
    <t>10,596 to 12,631 (+19%)</t>
  </si>
  <si>
    <t>27.0% to 28.5% (new peak)</t>
  </si>
  <si>
    <t>DTC (Direct-to-Consumer) + selective retail + operational excellence</t>
  </si>
  <si>
    <t>19.9% (2000) → 28.5% (2024) | +860 bps</t>
  </si>
  <si>
    <t>Drivers: Higher AUR, faster inventory turns, supply chain efficiency</t>
  </si>
  <si>
    <t>ROE peaked 30.8% (2007), stabilized 18-25% (2008+)</t>
  </si>
  <si>
    <t>Improved shareholder returns through margin expansion and equity growth</t>
  </si>
  <si>
    <t>€38.2B revenue on 12,631 stores = €3,026/store/year</t>
  </si>
  <si>
    <t>vs. competitors: H&amp;M €269K/store, Gap €335K/store (Zara premium positioning)</t>
  </si>
  <si>
    <t>€114.4K sales per employee (2024)</t>
  </si>
  <si>
    <t>Highest in industry: H&amp;M €122K, Gap €350K (Zara model: store staff productivity)</t>
  </si>
  <si>
    <t>40% in-house manufacturing (Spain/Portugal) vs. industry 5-10%</t>
  </si>
  <si>
    <t>Speed: 2-3 week design-to-shelf vs. 6-9 months competitors</t>
  </si>
  <si>
    <t>450 workshops, 20-30 employees, 200km radius from Arteixo</t>
  </si>
  <si>
    <t>Inventory turns: 10+ x/year vs. Gap 4.5x, H&amp;M 6x</t>
  </si>
  <si>
    <t>150 in-store feedback signals/day → design decisions within weeks</t>
  </si>
  <si>
    <t>Fast fashion leadership: 20-30 new items/day vs. H&amp;M 5-7, Benetton 2-3</t>
  </si>
  <si>
    <t>Prime locations + owned vs. leased (balance)</t>
  </si>
  <si>
    <t>Store productivity compensates for premium rents</t>
  </si>
  <si>
    <t>2024: Spain 25%, Europe 45% → regulatory/currency risk</t>
  </si>
  <si>
    <t>Circular economy pressure (returns, recycling)</t>
  </si>
  <si>
    <t>Still &lt;30% of sales vs. ASOS 100%, Boohoo 95%</t>
  </si>
  <si>
    <t>Spain/Portugal wages rising + nearshoring competition</t>
  </si>
  <si>
    <t>Shein, ASOS disrupting fast fashion (ultra-fast + cheaper)</t>
  </si>
  <si>
    <t>NIL</t>
  </si>
  <si>
    <t>INDITEX KEY PERFORMANCE INDICATORS - STRATEGIC ANALYSIS (YEAR WISE)</t>
  </si>
  <si>
    <t>Operational Efficiency</t>
  </si>
  <si>
    <t>Rolling 3-Year Period End</t>
  </si>
  <si>
    <t>3-Year Sales CAGR %</t>
  </si>
  <si>
    <t>3-Year Net Income CAGR %</t>
  </si>
  <si>
    <t>Column1</t>
  </si>
  <si>
    <t>Strategic Phase</t>
  </si>
  <si>
    <t>The Golden Era</t>
  </si>
  <si>
    <t>The Resilience</t>
  </si>
  <si>
    <t>The Digital Squeeze</t>
  </si>
  <si>
    <t>The Efficiency Beast</t>
  </si>
  <si>
    <t>COVID</t>
  </si>
  <si>
    <t>Income CAGR &gt; Sales CAGR. Proven concept, massive expansion.</t>
  </si>
  <si>
    <t>Sales dropped to ~10%, but Profit held up. Survived Financial Crisis better than peers.</t>
  </si>
  <si>
    <r>
      <t>Profit growth lagged Sales.</t>
    </r>
    <r>
      <rPr>
        <sz val="14"/>
        <color theme="1"/>
        <rFont val="Al Bayan Plain"/>
      </rPr>
      <t> (The "Death Valley"). Investing heavily in Online + Closing small stores.</t>
    </r>
  </si>
  <si>
    <r>
      <t>Profit exploding (20%+).</t>
    </r>
    <r>
      <rPr>
        <sz val="14"/>
        <color theme="1"/>
        <rFont val="Al Bayan Plain"/>
      </rPr>
      <t> The investments paid off. Digital + Physical integration is printing cash.</t>
    </r>
  </si>
  <si>
    <t>2020 is an outlier "COVID Impact" year and doesn't fit a trend</t>
  </si>
  <si>
    <t>INDITEX VALUATION DASHBOARD (FEB 2026)</t>
  </si>
  <si>
    <t>Value</t>
  </si>
  <si>
    <t>Current Stock Price (Feb 2026)</t>
  </si>
  <si>
    <t>Trailing 12M EPS (€)</t>
  </si>
  <si>
    <t>P/E Ratio</t>
  </si>
  <si>
    <t>Growth Rate (Net Income 3Y CAGR)</t>
  </si>
  <si>
    <t>PEG Ratio</t>
  </si>
  <si>
    <t>Valuation Verdict</t>
  </si>
  <si>
    <t>PRICE SENSITIVITY ANALYSIS (Based on 13.2% Growth)</t>
  </si>
  <si>
    <t>Scenario</t>
  </si>
  <si>
    <t>Target PEG</t>
  </si>
  <si>
    <t>Implied P/E</t>
  </si>
  <si>
    <t>Implied Stock Price (€)</t>
  </si>
  <si>
    <t>Undervalued (Value Buy)</t>
  </si>
  <si>
    <t>Fair Value (GARP)</t>
  </si>
  <si>
    <t>Growth Premium</t>
  </si>
  <si>
    <t>Current Market Pricing</t>
  </si>
  <si>
    <t>Write-Up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</si>
</sst>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([$€-2]\ * #,##0.00_);_([$€-2]\ * \(#,##0.00\);_([$€-2]\ 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Al Bayan Plain"/>
    </font>
    <font>
      <sz val="11"/>
      <color theme="1"/>
      <name val="Al Bayan Plain"/>
    </font>
    <font>
      <b/>
      <sz val="20"/>
      <color theme="1"/>
      <name val="Al Bayan Plain"/>
    </font>
    <font>
      <b/>
      <sz val="14"/>
      <color theme="1"/>
      <name val="Al Bayan Plain"/>
    </font>
    <font>
      <sz val="14"/>
      <color theme="1"/>
      <name val="Al Bayan Plain"/>
    </font>
    <font>
      <sz val="16"/>
      <color theme="1"/>
      <name val="Al Bayan Plain"/>
    </font>
    <font>
      <sz val="11"/>
      <color rgb="FF000000"/>
      <name val="Calibri"/>
      <family val="2"/>
      <scheme val="minor"/>
    </font>
    <font>
      <sz val="14"/>
      <color theme="1"/>
      <name val="Al Bayan Plain"/>
    </font>
    <font>
      <sz val="14"/>
      <color rgb="FF000000"/>
      <name val="Al Bayan Plain"/>
    </font>
    <font>
      <b/>
      <sz val="14"/>
      <color rgb="FF000000"/>
      <name val="Al Bayan Plain"/>
    </font>
    <font>
      <i/>
      <sz val="16"/>
      <color theme="1"/>
      <name val="Helvetica Neue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4" fillId="0" borderId="0" xfId="0" applyFont="1"/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9" fontId="4" fillId="0" borderId="0" xfId="1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9" fillId="0" borderId="0" xfId="0" applyFont="1" applyAlignment="1">
      <alignment horizontal="left"/>
    </xf>
    <xf numFmtId="9" fontId="9" fillId="0" borderId="0" xfId="1" applyFont="1" applyAlignment="1">
      <alignment horizontal="center"/>
    </xf>
    <xf numFmtId="0" fontId="10" fillId="0" borderId="0" xfId="0" applyFont="1"/>
    <xf numFmtId="9" fontId="12" fillId="0" borderId="0" xfId="1" applyFont="1" applyAlignment="1">
      <alignment horizontal="center"/>
    </xf>
    <xf numFmtId="0" fontId="11" fillId="0" borderId="0" xfId="0" applyFont="1"/>
    <xf numFmtId="0" fontId="7" fillId="0" borderId="0" xfId="0" applyFont="1"/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14" fillId="2" borderId="0" xfId="0" applyFont="1" applyFill="1" applyAlignment="1">
      <alignment horizontal="center"/>
    </xf>
    <xf numFmtId="0" fontId="5" fillId="0" borderId="0" xfId="0" applyFont="1"/>
    <xf numFmtId="0" fontId="8" fillId="0" borderId="0" xfId="0" applyFont="1"/>
    <xf numFmtId="165" fontId="14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34">
    <dxf>
      <numFmt numFmtId="165" formatCode="_([$€-2]\ * #,##0.00_);_([$€-2]\ * \(#,##0.00\);_([$€-2]\ * &quot;-&quot;??_);_(@_)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l Bayan Plai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Al Bayan Plain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l Bayan Plain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l Bayan Plain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l Bayan Plain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l Bayan Plain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theme="1"/>
        <name val="Al Bayan Plain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l Bayan Plain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theme="1"/>
        <name val="Al Bayan Plain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l Bayan Plain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l Bayan Plain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l Bayan Plain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Al Bayan Plain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l Bayan Plain"/>
        <scheme val="none"/>
      </font>
    </dxf>
    <dxf>
      <font>
        <strike val="0"/>
        <outline val="0"/>
        <shadow val="0"/>
        <u val="none"/>
        <vertAlign val="baseline"/>
        <color theme="1"/>
        <name val="Al Bayan Plain"/>
        <scheme val="none"/>
      </font>
    </dxf>
    <dxf>
      <font>
        <b/>
        <strike val="0"/>
        <outline val="0"/>
        <shadow val="0"/>
        <u val="none"/>
        <vertAlign val="baseline"/>
        <sz val="14"/>
        <color theme="1"/>
        <name val="Al Bayan Plain"/>
        <scheme val="none"/>
      </font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0" i="0" u="none" strike="noStrike" baseline="0">
                <a:effectLst/>
              </a:rPr>
              <a:t>ROE: From High-Growth Challenger to Mature Compounder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'Key Metrics'!$E$3</c:f>
              <c:strCache>
                <c:ptCount val="1"/>
                <c:pt idx="0">
                  <c:v>ROE %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'Key Metrics'!$A$4:$A$28</c:f>
              <c:strCach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strCache>
            </c:strRef>
          </c:cat>
          <c:val>
            <c:numRef>
              <c:f>'Key Metrics'!$E$4:$E$28</c:f>
              <c:numCache>
                <c:formatCode>0.00</c:formatCode>
                <c:ptCount val="25"/>
                <c:pt idx="0">
                  <c:v>22.136817832436584</c:v>
                </c:pt>
                <c:pt idx="1">
                  <c:v>22.904050598842684</c:v>
                </c:pt>
                <c:pt idx="2">
                  <c:v>24.873672855277356</c:v>
                </c:pt>
                <c:pt idx="3">
                  <c:v>21.202336293271284</c:v>
                </c:pt>
                <c:pt idx="4">
                  <c:v>25.096895353018745</c:v>
                </c:pt>
                <c:pt idx="5">
                  <c:v>27.355623100303951</c:v>
                </c:pt>
                <c:pt idx="6">
                  <c:v>25.74079616881173</c:v>
                </c:pt>
                <c:pt idx="7">
                  <c:v>30.778618501342446</c:v>
                </c:pt>
                <c:pt idx="8">
                  <c:v>25.214785214785213</c:v>
                </c:pt>
                <c:pt idx="9">
                  <c:v>22.433395554047173</c:v>
                </c:pt>
                <c:pt idx="10">
                  <c:v>25.17351069982649</c:v>
                </c:pt>
                <c:pt idx="11">
                  <c:v>24.729952980048292</c:v>
                </c:pt>
                <c:pt idx="12">
                  <c:v>24.017370003340385</c:v>
                </c:pt>
                <c:pt idx="13">
                  <c:v>23.218435321456234</c:v>
                </c:pt>
                <c:pt idx="14">
                  <c:v>23.600730775618668</c:v>
                </c:pt>
                <c:pt idx="15">
                  <c:v>24.928526602050066</c:v>
                </c:pt>
                <c:pt idx="16">
                  <c:v>23.643122676579925</c:v>
                </c:pt>
                <c:pt idx="17">
                  <c:v>24.141325749288995</c:v>
                </c:pt>
                <c:pt idx="18">
                  <c:v>23.034173450982305</c:v>
                </c:pt>
                <c:pt idx="19">
                  <c:v>22.52568604499935</c:v>
                </c:pt>
                <c:pt idx="20">
                  <c:v>13.767114684084913</c:v>
                </c:pt>
                <c:pt idx="21">
                  <c:v>17.259978425026969</c:v>
                </c:pt>
                <c:pt idx="22">
                  <c:v>18.958497504596792</c:v>
                </c:pt>
                <c:pt idx="23">
                  <c:v>18.762516197431971</c:v>
                </c:pt>
                <c:pt idx="24">
                  <c:v>18.047956227872547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A8-6C49-A036-52B5033835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19880511"/>
        <c:axId val="1419874687"/>
      </c:lineChart>
      <c:catAx>
        <c:axId val="141988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874687"/>
        <c:crosses val="autoZero"/>
        <c:auto val="1"/>
        <c:lblAlgn val="ctr"/>
        <c:lblOffset val="100"/>
        <c:noMultiLvlLbl val="0"/>
      </c:catAx>
      <c:valAx>
        <c:axId val="141987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88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0" i="0" u="none" strike="noStrike" baseline="0">
                <a:effectLst/>
              </a:rPr>
              <a:t>Inditex: Sales vs Profit Growth (3-Year Rolling CAGR)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541776027996495E-2"/>
          <c:y val="0.1504166666666667"/>
          <c:w val="0.8773471128608924"/>
          <c:h val="0.67150335374744818"/>
        </c:manualLayout>
      </c:layout>
      <c:lineChart>
        <c:grouping val="standard"/>
        <c:varyColors val="0"/>
        <c:ser>
          <c:idx val="0"/>
          <c:order val="0"/>
          <c:tx>
            <c:strRef>
              <c:f>'CAGR (3-Year Rolling)'!$B$1</c:f>
              <c:strCache>
                <c:ptCount val="1"/>
                <c:pt idx="0">
                  <c:v>3-Year Sales CAGR 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'CAGR (3-Year Rolling)'!$A$2:$A$23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numCache>
            </c:numRef>
          </c:cat>
          <c:val>
            <c:numRef>
              <c:f>'CAGR (3-Year Rolling)'!$B$2:$B$23</c:f>
              <c:numCache>
                <c:formatCode>0%</c:formatCode>
                <c:ptCount val="22"/>
                <c:pt idx="0">
                  <c:v>0.20710217684860655</c:v>
                </c:pt>
                <c:pt idx="1">
                  <c:v>0.20388689567018337</c:v>
                </c:pt>
                <c:pt idx="2">
                  <c:v>0.19259923474555141</c:v>
                </c:pt>
                <c:pt idx="3">
                  <c:v>0.2124242845583455</c:v>
                </c:pt>
                <c:pt idx="4">
                  <c:v>0.18496302702159428</c:v>
                </c:pt>
                <c:pt idx="5">
                  <c:v>0.15576987627958805</c:v>
                </c:pt>
                <c:pt idx="6">
                  <c:v>0.1046429873485224</c:v>
                </c:pt>
                <c:pt idx="7">
                  <c:v>9.9106207650539346E-2</c:v>
                </c:pt>
                <c:pt idx="8">
                  <c:v>9.844350995861495E-2</c:v>
                </c:pt>
                <c:pt idx="9">
                  <c:v>0.10124812695270102</c:v>
                </c:pt>
                <c:pt idx="10">
                  <c:v>7.6465827138059606E-2</c:v>
                </c:pt>
                <c:pt idx="11">
                  <c:v>7.9684818742288721E-2</c:v>
                </c:pt>
                <c:pt idx="12">
                  <c:v>0.12382811564512441</c:v>
                </c:pt>
                <c:pt idx="13">
                  <c:v>0.14277371353455393</c:v>
                </c:pt>
                <c:pt idx="14">
                  <c:v>0.13437855920849495</c:v>
                </c:pt>
                <c:pt idx="15">
                  <c:v>7.672676819910329E-2</c:v>
                </c:pt>
                <c:pt idx="16">
                  <c:v>6.645502682990756E-2</c:v>
                </c:pt>
                <c:pt idx="17">
                  <c:v>-6.1966616348593684E-2</c:v>
                </c:pt>
                <c:pt idx="18">
                  <c:v>1.9691554957893764E-2</c:v>
                </c:pt>
                <c:pt idx="19">
                  <c:v>5.01451054643689E-2</c:v>
                </c:pt>
                <c:pt idx="20">
                  <c:v>0.20022298470565847</c:v>
                </c:pt>
                <c:pt idx="21">
                  <c:v>0.11317287478252402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17-FD43-860C-5E376786DC66}"/>
            </c:ext>
          </c:extLst>
        </c:ser>
        <c:ser>
          <c:idx val="1"/>
          <c:order val="1"/>
          <c:tx>
            <c:strRef>
              <c:f>'CAGR (3-Year Rolling)'!$C$1</c:f>
              <c:strCache>
                <c:ptCount val="1"/>
                <c:pt idx="0">
                  <c:v>3-Year Net Income CAGR 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'CAGR (3-Year Rolling)'!$A$2:$A$23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numCache>
            </c:numRef>
          </c:cat>
          <c:val>
            <c:numRef>
              <c:f>'CAGR (3-Year Rolling)'!$C$2:$C$23</c:f>
              <c:numCache>
                <c:formatCode>0%</c:formatCode>
                <c:ptCount val="22"/>
                <c:pt idx="0">
                  <c:v>0.19875055709597667</c:v>
                </c:pt>
                <c:pt idx="1">
                  <c:v>0.2265344400360243</c:v>
                </c:pt>
                <c:pt idx="2">
                  <c:v>0.22735610893134162</c:v>
                </c:pt>
                <c:pt idx="3">
                  <c:v>0.24420610888547523</c:v>
                </c:pt>
                <c:pt idx="4">
                  <c:v>0.26152374973038062</c:v>
                </c:pt>
                <c:pt idx="5">
                  <c:v>0.15928828005870654</c:v>
                </c:pt>
                <c:pt idx="6">
                  <c:v>0.15410237469068733</c:v>
                </c:pt>
                <c:pt idx="7">
                  <c:v>0.11351112787628015</c:v>
                </c:pt>
                <c:pt idx="8">
                  <c:v>0.15529925603490136</c:v>
                </c:pt>
                <c:pt idx="9">
                  <c:v>0.17726137839322154</c:v>
                </c:pt>
                <c:pt idx="10">
                  <c:v>0.11262838643822204</c:v>
                </c:pt>
                <c:pt idx="11">
                  <c:v>0.13455898426309254</c:v>
                </c:pt>
                <c:pt idx="12">
                  <c:v>0.18342834472505087</c:v>
                </c:pt>
                <c:pt idx="13">
                  <c:v>0.16748971254045153</c:v>
                </c:pt>
                <c:pt idx="14">
                  <c:v>0.15807339663891251</c:v>
                </c:pt>
                <c:pt idx="15">
                  <c:v>9.7426026200019278E-2</c:v>
                </c:pt>
                <c:pt idx="16">
                  <c:v>0.10837552059211508</c:v>
                </c:pt>
                <c:pt idx="17">
                  <c:v>-9.3502744962123407E-2</c:v>
                </c:pt>
                <c:pt idx="18">
                  <c:v>-6.0327940805057212E-3</c:v>
                </c:pt>
                <c:pt idx="19">
                  <c:v>3.5784034097946282E-2</c:v>
                </c:pt>
                <c:pt idx="20">
                  <c:v>0.24669035258819405</c:v>
                </c:pt>
                <c:pt idx="21">
                  <c:v>0.13190726983948364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17-FD43-860C-5E376786DC66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19876927"/>
        <c:axId val="1419872895"/>
      </c:lineChart>
      <c:catAx>
        <c:axId val="141987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872895"/>
        <c:crosses val="autoZero"/>
        <c:auto val="1"/>
        <c:lblAlgn val="ctr"/>
        <c:lblOffset val="100"/>
        <c:noMultiLvlLbl val="0"/>
      </c:catAx>
      <c:valAx>
        <c:axId val="141987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87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61651</xdr:colOff>
      <xdr:row>25</xdr:row>
      <xdr:rowOff>187691</xdr:rowOff>
    </xdr:from>
    <xdr:to>
      <xdr:col>17</xdr:col>
      <xdr:colOff>133617</xdr:colOff>
      <xdr:row>48</xdr:row>
      <xdr:rowOff>191923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74F55CFD-D33A-DDE7-46DA-965F58556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55033</xdr:colOff>
      <xdr:row>3</xdr:row>
      <xdr:rowOff>139701</xdr:rowOff>
    </xdr:from>
    <xdr:to>
      <xdr:col>17</xdr:col>
      <xdr:colOff>117395</xdr:colOff>
      <xdr:row>25</xdr:row>
      <xdr:rowOff>128067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CBD255E-1BC2-F23D-EB2B-4947C8D68E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58845B-A33C-F649-9E15-AA35276D45D2}" name="Table7" displayName="Table7" ref="A5:B71" totalsRowShown="0" dataDxfId="33">
  <autoFilter ref="A5:B71" xr:uid="{E258845B-A33C-F649-9E15-AA35276D45D2}"/>
  <tableColumns count="2">
    <tableColumn id="1" xr3:uid="{2A917B6E-33E0-1943-87A9-A5FD0AE97F02}" name="PHASE 1: EUROPEAN EXPANSION (2000-2007)" dataDxfId="32"/>
    <tableColumn id="2" xr3:uid="{11AFEA90-3755-EC49-A0D8-2599397CD4FC}" name="Write-Up" dataDxfId="31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6BEA6-3AA7-1349-99F1-A62692003789}" name="Table2" displayName="Table2" ref="A4:I30" totalsRowShown="0">
  <autoFilter ref="A4:I30" xr:uid="{B9E6BEA6-3AA7-1349-99F1-A62692003789}"/>
  <tableColumns count="9">
    <tableColumn id="1" xr3:uid="{584BEEA6-D906-3F4B-BC06-2BC375CFD8AB}" name="Fiscal Year"/>
    <tableColumn id="2" xr3:uid="{F902812E-563E-C740-87AA-E53C5A5DD73C}" name="Net Sales (€M)"/>
    <tableColumn id="3" xr3:uid="{DC6BCEC4-9620-814C-AAFB-6AA10A543BEB}" name="EBITDA (€M)"/>
    <tableColumn id="4" xr3:uid="{AFC39A13-E4A8-F047-8061-06BD7D17592A}" name="EBIT (€M)"/>
    <tableColumn id="5" xr3:uid="{E6C54AE9-3EE3-1142-B02A-77F14B970BE6}" name="Net Income (€M)"/>
    <tableColumn id="6" xr3:uid="{EE5FBA3B-0F9A-8C4F-8498-719C5FFDCDDE}" name="Shareholders Equity (€M)"/>
    <tableColumn id="7" xr3:uid="{5627B3F7-AA64-5F4E-94A5-210E02CA6A39}" name="Total Assets (€M)"/>
    <tableColumn id="8" xr3:uid="{87D34BD4-F194-C74F-B206-004F1DFEB710}" name="Stores"/>
    <tableColumn id="9" xr3:uid="{8814C787-3690-1444-8662-3B8A8CEE6187}" name="Employees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DE4EC5-4410-C74C-A06A-FA839F0FF31A}" name="Table1" displayName="Table1" ref="A3:E28" totalsRowShown="0" headerRowDxfId="30" dataDxfId="29">
  <autoFilter ref="A3:E28" xr:uid="{9FDE4EC5-4410-C74C-A06A-FA839F0FF31A}"/>
  <tableColumns count="5">
    <tableColumn id="1" xr3:uid="{65925D4D-A6A8-D549-9D7D-DDB02A325F90}" name="Year" dataDxfId="28"/>
    <tableColumn id="2" xr3:uid="{39E0957A-D05D-484E-B0FA-2A2518C6DB7B}" name="Revenue Growth %" dataDxfId="27">
      <calculatedColumnFormula>('Financial Summary'!B5-'Financial Summary'!B4)/'Financial Summary'!B4*100</calculatedColumnFormula>
    </tableColumn>
    <tableColumn id="3" xr3:uid="{6D179D82-957B-3A4F-BFDE-ADFD1A35911C}" name="EBITDA Margin %" dataDxfId="26">
      <calculatedColumnFormula>('Financial Summary'!C5/'Financial Summary'!B5)*100</calculatedColumnFormula>
    </tableColumn>
    <tableColumn id="4" xr3:uid="{A03E7E9C-4EEE-2B4A-878D-E769A00B5D81}" name="Net Margin %" dataDxfId="25">
      <calculatedColumnFormula>('Financial Summary'!E5/'Financial Summary'!B5)*100</calculatedColumnFormula>
    </tableColumn>
    <tableColumn id="5" xr3:uid="{643935F3-3A49-9F48-B5C8-7CB49293B999}" name="ROE %" dataDxfId="24">
      <calculatedColumnFormula>('Financial Summary'!E5/'Financial Summary'!F5)*100</calculatedColumnFormula>
    </tableColumn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529ABF-7EE3-C741-837E-B14FACEE62B4}" name="Table3" displayName="Table3" ref="A3:F28" totalsRowShown="0" headerRowDxfId="23" dataDxfId="22">
  <autoFilter ref="A3:F28" xr:uid="{1B529ABF-7EE3-C741-837E-B14FACEE62B4}"/>
  <tableColumns count="6">
    <tableColumn id="1" xr3:uid="{26EF8FAF-232E-D74A-BCE4-3E3B456CAB7E}" name="Year" dataDxfId="21"/>
    <tableColumn id="2" xr3:uid="{B9D18E80-B040-0249-8965-F7A1A90FF47C}" name="Sales per Store (€M)" dataDxfId="20">
      <calculatedColumnFormula>'Financial Summary'!B5/'Financial Summary'!H5</calculatedColumnFormula>
    </tableColumn>
    <tableColumn id="3" xr3:uid="{7D69A562-F5B5-0347-8119-78835A5CC3C4}" name="Sales per Employee (€K)" dataDxfId="19">
      <calculatedColumnFormula>('Financial Summary'!B5*1000)/'Financial Summary'!I5</calculatedColumnFormula>
    </tableColumn>
    <tableColumn id="4" xr3:uid="{FDD1E0B1-55E3-1B4A-8F11-B05AC9107116}" name="ROIC %" dataDxfId="18" dataCellStyle="Percent">
      <calculatedColumnFormula>('Financial Summary'!D5*(1-0.25))/'Financial Summary'!G5</calculatedColumnFormula>
    </tableColumn>
    <tableColumn id="5" xr3:uid="{E4A85180-83F9-164A-B663-B2876F63E34C}" name="Asset Turnover" dataDxfId="17">
      <calculatedColumnFormula>'Financial Summary'!B5/'Financial Summary'!G5</calculatedColumnFormula>
    </tableColumn>
    <tableColumn id="6" xr3:uid="{B10CC8B8-4FD9-A842-B539-F400BC821B74}" name="Operational Efficiency" dataDxfId="16">
      <calculatedColumnFormula>'Financial Summary'!G5/'Financial Summary'!F5</calculatedColumnFormula>
    </tableColumn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54D583-B080-6344-9018-AD6B43260F29}" name="Table4" displayName="Table4" ref="A1:E23" totalsRowShown="0" headerRowDxfId="15" dataDxfId="13" headerRowBorderDxfId="14" tableBorderDxfId="12">
  <autoFilter ref="A1:E23" xr:uid="{7554D583-B080-6344-9018-AD6B43260F29}"/>
  <tableColumns count="5">
    <tableColumn id="1" xr3:uid="{0AE31E4D-79BF-3848-A1F5-3045AE8CBE84}" name="Rolling 3-Year Period End" dataDxfId="11"/>
    <tableColumn id="2" xr3:uid="{CED01FE0-6AA5-F64E-89FD-E574B1ABAFD5}" name="3-Year Sales CAGR %" dataDxfId="10" dataCellStyle="Percent">
      <calculatedColumnFormula>('Financial Summary'!B8/'Financial Summary'!B5)^(1/3)-1</calculatedColumnFormula>
    </tableColumn>
    <tableColumn id="3" xr3:uid="{096C6B82-F84F-6145-BEE8-AEF8F46CBB5A}" name="3-Year Net Income CAGR %" dataDxfId="9" dataCellStyle="Percent">
      <calculatedColumnFormula>('Financial Summary'!E8/'Financial Summary'!E5)^(1/3)-1</calculatedColumnFormula>
    </tableColumn>
    <tableColumn id="4" xr3:uid="{C52ABB8A-9781-B342-B3A2-959A0C07E756}" name="Strategic Phase" dataDxfId="8" dataCellStyle="Percent"/>
    <tableColumn id="5" xr3:uid="{98059C4D-DE2F-4243-B08F-9A63F85E7D5D}" name="Column1" dataDxfId="7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067FB5-A6B3-3A48-B762-0BEC9B8F8A1C}" name="Table5" displayName="Table5" ref="A2:B8" totalsRowShown="0">
  <autoFilter ref="A2:B8" xr:uid="{F4067FB5-A6B3-3A48-B762-0BEC9B8F8A1C}"/>
  <tableColumns count="2">
    <tableColumn id="1" xr3:uid="{B6E0B03A-CAB7-A542-AF38-B3199BE249FB}" name="Metric" dataDxfId="6"/>
    <tableColumn id="2" xr3:uid="{725FF024-056E-0446-8E51-88CF4584492C}" name="Value" dataDxfId="5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AC584A-E5BA-C046-B99B-B904910EBCCA}" name="Table6" displayName="Table6" ref="A13:D17" totalsRowShown="0" headerRowDxfId="4">
  <autoFilter ref="A13:D17" xr:uid="{50AC584A-E5BA-C046-B99B-B904910EBCCA}"/>
  <tableColumns count="4">
    <tableColumn id="1" xr3:uid="{694C5DBC-9D67-C74B-B1F7-1F0B75B6E145}" name="Scenario" dataDxfId="3"/>
    <tableColumn id="2" xr3:uid="{5E7A23FE-1D39-1549-B911-1BA77C03B056}" name="Target PEG" dataDxfId="2"/>
    <tableColumn id="3" xr3:uid="{C3303A03-8537-BB4A-8AA4-DE3F98D1475D}" name="Implied P/E" dataDxfId="1">
      <calculatedColumnFormula>B14*$B$6</calculatedColumnFormula>
    </tableColumn>
    <tableColumn id="4" xr3:uid="{56D62637-1EDC-3143-8E4D-2CFB7F0C072D}" name="Implied Stock Price (€)" dataDxfId="0">
      <calculatedColumnFormula>C14*$B$4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71"/>
  <sheetViews>
    <sheetView tabSelected="1" topLeftCell="A23" zoomScale="119" workbookViewId="0">
      <selection activeCell="S21" sqref="S21"/>
    </sheetView>
  </sheetViews>
  <sheetFormatPr baseColWidth="10" defaultColWidth="8.83203125" defaultRowHeight="15"/>
  <cols>
    <col min="1" max="1" width="50.6640625" style="22" customWidth="1"/>
    <col min="2" max="2" width="63.5" bestFit="1" customWidth="1"/>
  </cols>
  <sheetData>
    <row r="3" spans="1:2">
      <c r="A3" s="21" t="s">
        <v>48</v>
      </c>
    </row>
    <row r="5" spans="1:2">
      <c r="A5" s="20" t="s">
        <v>49</v>
      </c>
      <c r="B5" s="3" t="s">
        <v>155</v>
      </c>
    </row>
    <row r="6" spans="1:2">
      <c r="A6" s="21" t="s">
        <v>50</v>
      </c>
      <c r="B6" s="22" t="s">
        <v>75</v>
      </c>
    </row>
    <row r="7" spans="1:2">
      <c r="A7" s="21" t="s">
        <v>51</v>
      </c>
      <c r="B7" s="22" t="s">
        <v>76</v>
      </c>
    </row>
    <row r="8" spans="1:2">
      <c r="A8" s="21" t="s">
        <v>52</v>
      </c>
      <c r="B8" s="22" t="s">
        <v>77</v>
      </c>
    </row>
    <row r="9" spans="1:2">
      <c r="A9" s="21" t="s">
        <v>53</v>
      </c>
      <c r="B9" s="22" t="s">
        <v>78</v>
      </c>
    </row>
    <row r="10" spans="1:2">
      <c r="A10" s="21" t="s">
        <v>54</v>
      </c>
      <c r="B10" s="22" t="s">
        <v>79</v>
      </c>
    </row>
    <row r="11" spans="1:2">
      <c r="A11" s="21" t="s">
        <v>55</v>
      </c>
      <c r="B11" s="22" t="s">
        <v>80</v>
      </c>
    </row>
    <row r="12" spans="1:2">
      <c r="A12" s="21"/>
      <c r="B12" s="22"/>
    </row>
    <row r="13" spans="1:2">
      <c r="A13" s="21" t="s">
        <v>56</v>
      </c>
      <c r="B13" s="22"/>
    </row>
    <row r="14" spans="1:2">
      <c r="A14" s="21" t="s">
        <v>50</v>
      </c>
      <c r="B14" s="22" t="s">
        <v>81</v>
      </c>
    </row>
    <row r="15" spans="1:2">
      <c r="A15" s="21" t="s">
        <v>51</v>
      </c>
      <c r="B15" s="22" t="s">
        <v>82</v>
      </c>
    </row>
    <row r="16" spans="1:2">
      <c r="A16" s="21" t="s">
        <v>52</v>
      </c>
      <c r="B16" s="22" t="s">
        <v>83</v>
      </c>
    </row>
    <row r="17" spans="1:2">
      <c r="A17" s="21" t="s">
        <v>53</v>
      </c>
      <c r="B17" s="22" t="s">
        <v>84</v>
      </c>
    </row>
    <row r="18" spans="1:2">
      <c r="A18" s="21" t="s">
        <v>54</v>
      </c>
      <c r="B18" s="22" t="s">
        <v>85</v>
      </c>
    </row>
    <row r="19" spans="1:2">
      <c r="A19" s="21" t="s">
        <v>55</v>
      </c>
      <c r="B19" s="22" t="s">
        <v>86</v>
      </c>
    </row>
    <row r="20" spans="1:2">
      <c r="A20" s="21"/>
      <c r="B20" s="22"/>
    </row>
    <row r="21" spans="1:2">
      <c r="A21" s="21" t="s">
        <v>57</v>
      </c>
      <c r="B21" s="22"/>
    </row>
    <row r="22" spans="1:2">
      <c r="A22" s="21" t="s">
        <v>50</v>
      </c>
      <c r="B22" s="22" t="s">
        <v>87</v>
      </c>
    </row>
    <row r="23" spans="1:2">
      <c r="A23" s="21" t="s">
        <v>51</v>
      </c>
      <c r="B23" s="22" t="s">
        <v>88</v>
      </c>
    </row>
    <row r="24" spans="1:2">
      <c r="A24" s="21" t="s">
        <v>52</v>
      </c>
      <c r="B24" s="22" t="s">
        <v>89</v>
      </c>
    </row>
    <row r="25" spans="1:2">
      <c r="A25" s="21" t="s">
        <v>53</v>
      </c>
      <c r="B25" s="22" t="s">
        <v>90</v>
      </c>
    </row>
    <row r="26" spans="1:2">
      <c r="A26" s="21" t="s">
        <v>54</v>
      </c>
      <c r="B26" s="22" t="s">
        <v>91</v>
      </c>
    </row>
    <row r="27" spans="1:2">
      <c r="A27" s="21" t="s">
        <v>55</v>
      </c>
      <c r="B27" s="22" t="s">
        <v>92</v>
      </c>
    </row>
    <row r="28" spans="1:2">
      <c r="A28" s="21"/>
      <c r="B28" s="22"/>
    </row>
    <row r="29" spans="1:2">
      <c r="A29" s="21" t="s">
        <v>58</v>
      </c>
      <c r="B29" s="22"/>
    </row>
    <row r="30" spans="1:2">
      <c r="A30" s="21" t="s">
        <v>50</v>
      </c>
      <c r="B30" s="22" t="s">
        <v>93</v>
      </c>
    </row>
    <row r="31" spans="1:2">
      <c r="A31" s="21" t="s">
        <v>51</v>
      </c>
      <c r="B31" s="22" t="s">
        <v>94</v>
      </c>
    </row>
    <row r="32" spans="1:2">
      <c r="A32" s="21" t="s">
        <v>52</v>
      </c>
      <c r="B32" s="22" t="s">
        <v>95</v>
      </c>
    </row>
    <row r="33" spans="1:2">
      <c r="A33" s="21" t="s">
        <v>53</v>
      </c>
      <c r="B33" s="22" t="s">
        <v>96</v>
      </c>
    </row>
    <row r="34" spans="1:2">
      <c r="A34" s="21" t="s">
        <v>54</v>
      </c>
      <c r="B34" s="22" t="s">
        <v>97</v>
      </c>
    </row>
    <row r="35" spans="1:2">
      <c r="A35" s="21" t="s">
        <v>55</v>
      </c>
      <c r="B35" s="22" t="s">
        <v>98</v>
      </c>
    </row>
    <row r="36" spans="1:2">
      <c r="A36" s="21"/>
      <c r="B36" s="22"/>
    </row>
    <row r="37" spans="1:2">
      <c r="A37" s="21" t="s">
        <v>59</v>
      </c>
      <c r="B37" s="22"/>
    </row>
    <row r="38" spans="1:2">
      <c r="A38" s="21"/>
      <c r="B38" s="22"/>
    </row>
    <row r="39" spans="1:2">
      <c r="A39" s="21" t="s">
        <v>60</v>
      </c>
      <c r="B39" s="22" t="s">
        <v>99</v>
      </c>
    </row>
    <row r="40" spans="1:2">
      <c r="A40" s="21"/>
      <c r="B40" s="22" t="s">
        <v>100</v>
      </c>
    </row>
    <row r="41" spans="1:2">
      <c r="A41" s="21"/>
      <c r="B41" s="22"/>
    </row>
    <row r="42" spans="1:2">
      <c r="A42" s="21" t="s">
        <v>61</v>
      </c>
      <c r="B42" s="22" t="s">
        <v>101</v>
      </c>
    </row>
    <row r="43" spans="1:2">
      <c r="A43" s="21"/>
      <c r="B43" s="22" t="s">
        <v>102</v>
      </c>
    </row>
    <row r="44" spans="1:2">
      <c r="A44" s="21"/>
      <c r="B44" s="22"/>
    </row>
    <row r="45" spans="1:2">
      <c r="A45" s="21" t="s">
        <v>62</v>
      </c>
      <c r="B45" s="22" t="s">
        <v>103</v>
      </c>
    </row>
    <row r="46" spans="1:2">
      <c r="A46" s="21"/>
      <c r="B46" s="22" t="s">
        <v>104</v>
      </c>
    </row>
    <row r="47" spans="1:2">
      <c r="A47" s="21"/>
      <c r="B47" s="22"/>
    </row>
    <row r="48" spans="1:2">
      <c r="A48" s="21" t="s">
        <v>63</v>
      </c>
      <c r="B48" s="22" t="s">
        <v>105</v>
      </c>
    </row>
    <row r="49" spans="1:2">
      <c r="A49" s="21"/>
      <c r="B49" s="22" t="s">
        <v>106</v>
      </c>
    </row>
    <row r="50" spans="1:2">
      <c r="A50" s="21"/>
      <c r="B50" s="22"/>
    </row>
    <row r="51" spans="1:2">
      <c r="A51" s="21" t="s">
        <v>64</v>
      </c>
      <c r="B51" s="22"/>
    </row>
    <row r="52" spans="1:2">
      <c r="A52" s="21"/>
      <c r="B52" s="22"/>
    </row>
    <row r="53" spans="1:2">
      <c r="A53" s="21" t="s">
        <v>65</v>
      </c>
      <c r="B53" s="22" t="s">
        <v>107</v>
      </c>
    </row>
    <row r="54" spans="1:2">
      <c r="A54" s="21"/>
      <c r="B54" s="22" t="s">
        <v>108</v>
      </c>
    </row>
    <row r="55" spans="1:2">
      <c r="A55" s="21"/>
      <c r="B55" s="22"/>
    </row>
    <row r="56" spans="1:2">
      <c r="A56" s="21" t="s">
        <v>66</v>
      </c>
      <c r="B56" s="22" t="s">
        <v>109</v>
      </c>
    </row>
    <row r="57" spans="1:2">
      <c r="A57" s="21"/>
      <c r="B57" s="22" t="s">
        <v>110</v>
      </c>
    </row>
    <row r="58" spans="1:2">
      <c r="A58" s="21"/>
      <c r="B58" s="22"/>
    </row>
    <row r="59" spans="1:2">
      <c r="A59" s="21" t="s">
        <v>67</v>
      </c>
      <c r="B59" s="22" t="s">
        <v>111</v>
      </c>
    </row>
    <row r="60" spans="1:2">
      <c r="A60" s="21"/>
      <c r="B60" s="22" t="s">
        <v>112</v>
      </c>
    </row>
    <row r="61" spans="1:2">
      <c r="A61" s="21"/>
      <c r="B61" s="22"/>
    </row>
    <row r="62" spans="1:2">
      <c r="A62" s="21" t="s">
        <v>68</v>
      </c>
      <c r="B62" s="22" t="s">
        <v>113</v>
      </c>
    </row>
    <row r="63" spans="1:2">
      <c r="A63" s="21"/>
      <c r="B63" s="22" t="s">
        <v>114</v>
      </c>
    </row>
    <row r="64" spans="1:2">
      <c r="A64" s="21"/>
      <c r="B64" s="22"/>
    </row>
    <row r="65" spans="1:2">
      <c r="A65" s="21" t="s">
        <v>69</v>
      </c>
      <c r="B65" s="22"/>
    </row>
    <row r="66" spans="1:2">
      <c r="A66" s="21"/>
      <c r="B66" s="22"/>
    </row>
    <row r="67" spans="1:2">
      <c r="A67" s="21" t="s">
        <v>70</v>
      </c>
      <c r="B67" s="22" t="s">
        <v>115</v>
      </c>
    </row>
    <row r="68" spans="1:2">
      <c r="A68" s="21" t="s">
        <v>71</v>
      </c>
      <c r="B68" s="22" t="s">
        <v>116</v>
      </c>
    </row>
    <row r="69" spans="1:2">
      <c r="A69" s="21" t="s">
        <v>72</v>
      </c>
      <c r="B69" s="22" t="s">
        <v>117</v>
      </c>
    </row>
    <row r="70" spans="1:2">
      <c r="A70" s="21" t="s">
        <v>73</v>
      </c>
      <c r="B70" s="22" t="s">
        <v>118</v>
      </c>
    </row>
    <row r="71" spans="1:2">
      <c r="A71" s="21" t="s">
        <v>74</v>
      </c>
      <c r="B71" s="22" t="s">
        <v>119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workbookViewId="0">
      <selection activeCell="K14" sqref="K14"/>
    </sheetView>
  </sheetViews>
  <sheetFormatPr baseColWidth="10" defaultColWidth="8.83203125" defaultRowHeight="15"/>
  <cols>
    <col min="1" max="1" width="50.6640625" customWidth="1"/>
    <col min="2" max="2" width="16.6640625" customWidth="1"/>
    <col min="3" max="3" width="13.6640625" customWidth="1"/>
    <col min="4" max="4" width="11.6640625" customWidth="1"/>
    <col min="5" max="5" width="17.6640625" customWidth="1"/>
    <col min="6" max="6" width="26.6640625" customWidth="1"/>
    <col min="7" max="7" width="19.6640625" customWidth="1"/>
    <col min="8" max="8" width="8.6640625" customWidth="1"/>
    <col min="9" max="9" width="11.83203125" customWidth="1"/>
    <col min="10" max="10" width="14.6640625" customWidth="1"/>
  </cols>
  <sheetData>
    <row r="1" spans="1:9">
      <c r="A1" t="s">
        <v>36</v>
      </c>
    </row>
    <row r="2" spans="1:9">
      <c r="A2" t="s">
        <v>0</v>
      </c>
    </row>
    <row r="4" spans="1:9">
      <c r="A4" t="s">
        <v>1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</row>
    <row r="5" spans="1:9">
      <c r="A5" s="20">
        <v>2000</v>
      </c>
      <c r="B5" s="3">
        <v>2614.6999999999998</v>
      </c>
      <c r="C5" s="3">
        <v>521.5</v>
      </c>
      <c r="D5" s="3">
        <v>379.9</v>
      </c>
      <c r="E5" s="3">
        <v>259.2</v>
      </c>
      <c r="F5" s="3">
        <v>1170.9000000000001</v>
      </c>
      <c r="G5" s="3">
        <v>2107.6</v>
      </c>
      <c r="H5" s="3">
        <v>1080</v>
      </c>
      <c r="I5" s="3">
        <v>24004</v>
      </c>
    </row>
    <row r="6" spans="1:9">
      <c r="A6" s="20">
        <v>2001</v>
      </c>
      <c r="B6" s="3">
        <v>3249.8</v>
      </c>
      <c r="C6" s="3">
        <v>704.5</v>
      </c>
      <c r="D6" s="3">
        <v>517.5</v>
      </c>
      <c r="E6" s="3">
        <v>340.4</v>
      </c>
      <c r="F6" s="3">
        <v>1486.2</v>
      </c>
      <c r="G6" s="3">
        <v>2588.6</v>
      </c>
      <c r="H6" s="3">
        <v>1284</v>
      </c>
      <c r="I6" s="3">
        <v>26724</v>
      </c>
    </row>
    <row r="7" spans="1:9">
      <c r="A7" s="20">
        <v>2002</v>
      </c>
      <c r="B7" s="3">
        <v>3974</v>
      </c>
      <c r="C7" s="3">
        <v>868.1</v>
      </c>
      <c r="D7" s="3">
        <v>659.5</v>
      </c>
      <c r="E7" s="3">
        <v>438.1</v>
      </c>
      <c r="F7" s="3">
        <v>1761.3</v>
      </c>
      <c r="G7" s="3">
        <v>3013.8</v>
      </c>
      <c r="H7" s="3">
        <v>1558</v>
      </c>
      <c r="I7" s="3">
        <v>32535</v>
      </c>
    </row>
    <row r="8" spans="1:9">
      <c r="A8" s="20">
        <v>2003</v>
      </c>
      <c r="B8" s="3">
        <v>4598.8999999999996</v>
      </c>
      <c r="C8" s="3">
        <v>873.5</v>
      </c>
      <c r="D8" s="3">
        <v>627</v>
      </c>
      <c r="E8" s="3">
        <v>446.5</v>
      </c>
      <c r="F8" s="3">
        <v>2105.9</v>
      </c>
      <c r="G8" s="3">
        <v>3510.4</v>
      </c>
      <c r="H8" s="3">
        <v>1922</v>
      </c>
      <c r="I8" s="3">
        <v>39760</v>
      </c>
    </row>
    <row r="9" spans="1:9">
      <c r="A9" s="20">
        <v>2004</v>
      </c>
      <c r="B9" s="3">
        <v>5670.4</v>
      </c>
      <c r="C9" s="3">
        <v>1239.7</v>
      </c>
      <c r="D9" s="3">
        <v>925.2</v>
      </c>
      <c r="E9" s="3">
        <v>628.1</v>
      </c>
      <c r="F9" s="3">
        <v>2502.6999999999998</v>
      </c>
      <c r="G9" s="3">
        <v>4209.2</v>
      </c>
      <c r="H9" s="3">
        <v>2244</v>
      </c>
      <c r="I9" s="3">
        <v>47046</v>
      </c>
    </row>
    <row r="10" spans="1:9">
      <c r="A10" s="20">
        <v>2005</v>
      </c>
      <c r="B10" s="3">
        <v>6740.8</v>
      </c>
      <c r="C10" s="3">
        <v>1465</v>
      </c>
      <c r="D10" s="3">
        <v>1053</v>
      </c>
      <c r="E10" s="3">
        <v>810</v>
      </c>
      <c r="F10" s="3">
        <v>2961</v>
      </c>
      <c r="G10" s="3">
        <v>5054</v>
      </c>
      <c r="H10" s="3">
        <v>2632</v>
      </c>
      <c r="I10" s="3">
        <v>55708</v>
      </c>
    </row>
    <row r="11" spans="1:9">
      <c r="A11" s="20">
        <v>2006</v>
      </c>
      <c r="B11" s="3">
        <v>8196.2999999999993</v>
      </c>
      <c r="C11" s="3">
        <v>1662</v>
      </c>
      <c r="D11" s="3">
        <v>1127</v>
      </c>
      <c r="E11" s="3">
        <v>860</v>
      </c>
      <c r="F11" s="3">
        <v>3341</v>
      </c>
      <c r="G11" s="3">
        <v>5847</v>
      </c>
      <c r="H11" s="3">
        <v>2872</v>
      </c>
      <c r="I11" s="3">
        <v>64680</v>
      </c>
    </row>
    <row r="12" spans="1:9">
      <c r="A12" s="20">
        <v>2007</v>
      </c>
      <c r="B12" s="3">
        <v>9434.7000000000007</v>
      </c>
      <c r="C12" s="3">
        <v>2071</v>
      </c>
      <c r="D12" s="3">
        <v>1549</v>
      </c>
      <c r="E12" s="3">
        <v>1261</v>
      </c>
      <c r="F12" s="3">
        <v>4097</v>
      </c>
      <c r="G12" s="3">
        <v>7081</v>
      </c>
      <c r="H12" s="3">
        <v>3121</v>
      </c>
      <c r="I12" s="3">
        <v>79517</v>
      </c>
    </row>
    <row r="13" spans="1:9">
      <c r="A13" s="20">
        <v>2008</v>
      </c>
      <c r="B13" s="3">
        <v>10407</v>
      </c>
      <c r="C13" s="3">
        <v>2282</v>
      </c>
      <c r="D13" s="3">
        <v>1701</v>
      </c>
      <c r="E13" s="3">
        <v>1262</v>
      </c>
      <c r="F13" s="3">
        <v>5005</v>
      </c>
      <c r="G13" s="3">
        <v>8475</v>
      </c>
      <c r="H13" s="3">
        <v>3691</v>
      </c>
      <c r="I13" s="3">
        <v>89112</v>
      </c>
    </row>
    <row r="14" spans="1:9">
      <c r="A14" s="20">
        <v>2009</v>
      </c>
      <c r="B14" s="3">
        <v>11048</v>
      </c>
      <c r="C14" s="3">
        <v>2454</v>
      </c>
      <c r="D14" s="3">
        <v>1826</v>
      </c>
      <c r="E14" s="3">
        <v>1322</v>
      </c>
      <c r="F14" s="3">
        <v>5893</v>
      </c>
      <c r="G14" s="3">
        <v>10085</v>
      </c>
      <c r="H14" s="3">
        <v>4264</v>
      </c>
      <c r="I14" s="3">
        <v>92301</v>
      </c>
    </row>
    <row r="15" spans="1:9">
      <c r="A15" s="20">
        <v>2010</v>
      </c>
      <c r="B15" s="3">
        <v>12527</v>
      </c>
      <c r="C15" s="3">
        <v>2966</v>
      </c>
      <c r="D15" s="3">
        <v>2290</v>
      </c>
      <c r="E15" s="3">
        <v>1741</v>
      </c>
      <c r="F15" s="3">
        <v>6916</v>
      </c>
      <c r="G15" s="3">
        <v>11814</v>
      </c>
      <c r="H15" s="3">
        <v>5044</v>
      </c>
      <c r="I15" s="3">
        <v>100138</v>
      </c>
    </row>
    <row r="16" spans="1:9">
      <c r="A16" s="20">
        <v>2011</v>
      </c>
      <c r="B16" s="3">
        <v>13793</v>
      </c>
      <c r="C16" s="3">
        <v>3258</v>
      </c>
      <c r="D16" s="3">
        <v>2522</v>
      </c>
      <c r="E16" s="3">
        <v>1946</v>
      </c>
      <c r="F16" s="3">
        <v>7869</v>
      </c>
      <c r="G16" s="3">
        <v>13309</v>
      </c>
      <c r="H16" s="3">
        <v>5527</v>
      </c>
      <c r="I16" s="3">
        <v>109512</v>
      </c>
    </row>
    <row r="17" spans="1:10">
      <c r="A17" s="20">
        <v>2012</v>
      </c>
      <c r="B17" s="3">
        <v>14755</v>
      </c>
      <c r="C17" s="3">
        <v>3568</v>
      </c>
      <c r="D17" s="3">
        <v>2745</v>
      </c>
      <c r="E17" s="3">
        <v>2157</v>
      </c>
      <c r="F17" s="3">
        <v>8981</v>
      </c>
      <c r="G17" s="3">
        <v>14922</v>
      </c>
      <c r="H17" s="3">
        <v>6097</v>
      </c>
      <c r="I17" s="3">
        <v>118710</v>
      </c>
    </row>
    <row r="18" spans="1:10">
      <c r="A18" s="20">
        <v>2013</v>
      </c>
      <c r="B18" s="3">
        <v>15626</v>
      </c>
      <c r="C18" s="3">
        <v>3846</v>
      </c>
      <c r="D18" s="3">
        <v>2976</v>
      </c>
      <c r="E18" s="3">
        <v>2398</v>
      </c>
      <c r="F18" s="3">
        <v>10328</v>
      </c>
      <c r="G18" s="3">
        <v>16783</v>
      </c>
      <c r="H18" s="3">
        <v>6733</v>
      </c>
      <c r="I18" s="3">
        <v>130771</v>
      </c>
    </row>
    <row r="19" spans="1:10">
      <c r="A19" s="20">
        <v>2014</v>
      </c>
      <c r="B19" s="3">
        <v>17360</v>
      </c>
      <c r="C19" s="3">
        <v>4507</v>
      </c>
      <c r="D19" s="3">
        <v>3517</v>
      </c>
      <c r="E19" s="3">
        <v>2842</v>
      </c>
      <c r="F19" s="3">
        <v>12042</v>
      </c>
      <c r="G19" s="3">
        <v>18835</v>
      </c>
      <c r="H19" s="3">
        <v>7395</v>
      </c>
      <c r="I19" s="3">
        <v>141813</v>
      </c>
    </row>
    <row r="20" spans="1:10">
      <c r="A20" s="20">
        <v>2015</v>
      </c>
      <c r="B20" s="3">
        <v>20943</v>
      </c>
      <c r="C20" s="3">
        <v>5540</v>
      </c>
      <c r="D20" s="3">
        <v>4359</v>
      </c>
      <c r="E20" s="3">
        <v>3575</v>
      </c>
      <c r="F20" s="3">
        <v>14341</v>
      </c>
      <c r="G20" s="3">
        <v>21650</v>
      </c>
      <c r="H20" s="3">
        <v>7906</v>
      </c>
      <c r="I20" s="3">
        <v>158170</v>
      </c>
    </row>
    <row r="21" spans="1:10">
      <c r="A21" s="20">
        <v>2016</v>
      </c>
      <c r="B21" s="3">
        <v>23320</v>
      </c>
      <c r="C21" s="3">
        <v>6152</v>
      </c>
      <c r="D21" s="3">
        <v>4801</v>
      </c>
      <c r="E21" s="3">
        <v>3816</v>
      </c>
      <c r="F21" s="3">
        <v>16140</v>
      </c>
      <c r="G21" s="3">
        <v>24043</v>
      </c>
      <c r="H21" s="3">
        <v>8443</v>
      </c>
      <c r="I21" s="3">
        <v>175592</v>
      </c>
    </row>
    <row r="22" spans="1:10">
      <c r="A22" s="20">
        <v>2017</v>
      </c>
      <c r="B22" s="3">
        <v>25341</v>
      </c>
      <c r="C22" s="3">
        <v>6782</v>
      </c>
      <c r="D22" s="3">
        <v>5311</v>
      </c>
      <c r="E22" s="3">
        <v>4414</v>
      </c>
      <c r="F22" s="3">
        <v>18284</v>
      </c>
      <c r="G22" s="3">
        <v>26747</v>
      </c>
      <c r="H22" s="3">
        <v>8980</v>
      </c>
      <c r="I22" s="3">
        <v>194829</v>
      </c>
    </row>
    <row r="23" spans="1:10">
      <c r="A23" s="20">
        <v>2018</v>
      </c>
      <c r="B23" s="3">
        <v>26143</v>
      </c>
      <c r="C23" s="3">
        <v>7136</v>
      </c>
      <c r="D23" s="3">
        <v>5628</v>
      </c>
      <c r="E23" s="3">
        <v>4725</v>
      </c>
      <c r="F23" s="3">
        <v>20513</v>
      </c>
      <c r="G23" s="3">
        <v>28779</v>
      </c>
      <c r="H23" s="3">
        <v>9476</v>
      </c>
      <c r="I23" s="3">
        <v>210340</v>
      </c>
    </row>
    <row r="24" spans="1:10">
      <c r="A24" s="20">
        <v>2019</v>
      </c>
      <c r="B24" s="3">
        <v>28285</v>
      </c>
      <c r="C24" s="3">
        <v>7761</v>
      </c>
      <c r="D24" s="3">
        <v>6138</v>
      </c>
      <c r="E24" s="3">
        <v>5196</v>
      </c>
      <c r="F24" s="3">
        <v>23067</v>
      </c>
      <c r="G24" s="3">
        <v>31599</v>
      </c>
      <c r="H24" s="3">
        <v>10125</v>
      </c>
      <c r="I24" s="3">
        <v>236270</v>
      </c>
    </row>
    <row r="25" spans="1:10">
      <c r="A25" s="24">
        <v>2020</v>
      </c>
      <c r="B25" s="23">
        <v>20916</v>
      </c>
      <c r="C25" s="23">
        <v>5654</v>
      </c>
      <c r="D25" s="23">
        <v>4452</v>
      </c>
      <c r="E25" s="23">
        <v>3288</v>
      </c>
      <c r="F25" s="23">
        <v>23883</v>
      </c>
      <c r="G25" s="23">
        <v>30813</v>
      </c>
      <c r="H25" s="23">
        <v>10596</v>
      </c>
      <c r="I25" s="23">
        <v>244387</v>
      </c>
      <c r="J25" t="s">
        <v>35</v>
      </c>
    </row>
    <row r="26" spans="1:10">
      <c r="A26" s="20">
        <v>2021</v>
      </c>
      <c r="B26" s="3">
        <v>27718</v>
      </c>
      <c r="C26" s="3">
        <v>7833</v>
      </c>
      <c r="D26" s="3">
        <v>6188</v>
      </c>
      <c r="E26" s="3">
        <v>4640</v>
      </c>
      <c r="F26" s="3">
        <v>26883</v>
      </c>
      <c r="G26" s="3">
        <v>34555</v>
      </c>
      <c r="H26" s="3">
        <v>10899</v>
      </c>
      <c r="I26" s="3">
        <v>280308</v>
      </c>
    </row>
    <row r="27" spans="1:10">
      <c r="A27" s="20">
        <v>2022</v>
      </c>
      <c r="B27" s="3">
        <v>32757</v>
      </c>
      <c r="C27" s="3">
        <v>9356</v>
      </c>
      <c r="D27" s="3">
        <v>7427</v>
      </c>
      <c r="E27" s="3">
        <v>5774</v>
      </c>
      <c r="F27" s="3">
        <v>30456</v>
      </c>
      <c r="G27" s="3">
        <v>38987</v>
      </c>
      <c r="H27" s="3">
        <v>11558</v>
      </c>
      <c r="I27" s="3">
        <v>299110</v>
      </c>
    </row>
    <row r="28" spans="1:10">
      <c r="A28" s="20">
        <v>2023</v>
      </c>
      <c r="B28" s="3">
        <v>36163</v>
      </c>
      <c r="C28" s="3">
        <v>10221</v>
      </c>
      <c r="D28" s="3">
        <v>8195</v>
      </c>
      <c r="E28" s="3">
        <v>6371</v>
      </c>
      <c r="F28" s="3">
        <v>33956</v>
      </c>
      <c r="G28" s="3">
        <v>42381</v>
      </c>
      <c r="H28" s="3">
        <v>12117</v>
      </c>
      <c r="I28" s="3">
        <v>318379</v>
      </c>
    </row>
    <row r="29" spans="1:10">
      <c r="A29" s="20">
        <v>2024</v>
      </c>
      <c r="B29" s="3">
        <v>38234</v>
      </c>
      <c r="C29" s="3">
        <v>10894</v>
      </c>
      <c r="D29" s="3">
        <v>8742</v>
      </c>
      <c r="E29" s="3">
        <v>6729</v>
      </c>
      <c r="F29" s="3">
        <v>37284</v>
      </c>
      <c r="G29" s="3">
        <v>46189</v>
      </c>
      <c r="H29" s="3">
        <v>12631</v>
      </c>
      <c r="I29" s="3">
        <v>334203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zoomScale="75" workbookViewId="0">
      <selection activeCell="T20" sqref="T20"/>
    </sheetView>
  </sheetViews>
  <sheetFormatPr baseColWidth="10" defaultColWidth="8.83203125" defaultRowHeight="15"/>
  <cols>
    <col min="1" max="1" width="50.6640625" customWidth="1"/>
    <col min="2" max="2" width="27.5" bestFit="1" customWidth="1"/>
    <col min="3" max="3" width="25.33203125" bestFit="1" customWidth="1"/>
    <col min="4" max="4" width="23.33203125" customWidth="1"/>
    <col min="5" max="5" width="14.33203125" bestFit="1" customWidth="1"/>
  </cols>
  <sheetData>
    <row r="1" spans="1:5" ht="34">
      <c r="A1" s="25" t="s">
        <v>121</v>
      </c>
      <c r="B1" s="25"/>
      <c r="C1" s="25"/>
      <c r="D1" s="25"/>
      <c r="E1" s="1"/>
    </row>
    <row r="2" spans="1:5" ht="18">
      <c r="A2" s="1"/>
      <c r="B2" s="1"/>
      <c r="C2" s="1"/>
      <c r="D2" s="1"/>
      <c r="E2" s="1"/>
    </row>
    <row r="3" spans="1:5" ht="23">
      <c r="A3" s="5" t="s">
        <v>37</v>
      </c>
      <c r="B3" s="6" t="s">
        <v>38</v>
      </c>
      <c r="C3" s="6" t="s">
        <v>39</v>
      </c>
      <c r="D3" s="6" t="s">
        <v>40</v>
      </c>
      <c r="E3" s="6" t="s">
        <v>41</v>
      </c>
    </row>
    <row r="4" spans="1:5" ht="23">
      <c r="A4" s="5" t="s">
        <v>2</v>
      </c>
      <c r="B4" s="7" t="s">
        <v>120</v>
      </c>
      <c r="C4" s="8">
        <f>('Financial Summary'!C5/'Financial Summary'!B5)*100</f>
        <v>19.944926760240183</v>
      </c>
      <c r="D4" s="8">
        <f>('Financial Summary'!E5/'Financial Summary'!B5)*100</f>
        <v>9.9131831567675075</v>
      </c>
      <c r="E4" s="8">
        <f>('Financial Summary'!E5/'Financial Summary'!F5)*100</f>
        <v>22.136817832436584</v>
      </c>
    </row>
    <row r="5" spans="1:5" ht="23">
      <c r="A5" s="5" t="s">
        <v>3</v>
      </c>
      <c r="B5" s="7">
        <f>('Financial Summary'!B6-'Financial Summary'!B5)/'Financial Summary'!B5*100</f>
        <v>24.289593452403732</v>
      </c>
      <c r="C5" s="8">
        <f>('Financial Summary'!C6/'Financial Summary'!B6)*100</f>
        <v>21.678257123515294</v>
      </c>
      <c r="D5" s="8">
        <f>('Financial Summary'!E6/'Financial Summary'!B6)*100</f>
        <v>10.474490737891562</v>
      </c>
      <c r="E5" s="8">
        <f>('Financial Summary'!E6/'Financial Summary'!F6)*100</f>
        <v>22.904050598842684</v>
      </c>
    </row>
    <row r="6" spans="1:5" ht="23">
      <c r="A6" s="5" t="s">
        <v>4</v>
      </c>
      <c r="B6" s="7">
        <f>('Financial Summary'!B7-'Financial Summary'!B6)/'Financial Summary'!B6*100</f>
        <v>22.284448273739915</v>
      </c>
      <c r="C6" s="8">
        <f>('Financial Summary'!C7/'Financial Summary'!B7)*100</f>
        <v>21.844489179667843</v>
      </c>
      <c r="D6" s="8">
        <f>('Financial Summary'!E7/'Financial Summary'!B7)*100</f>
        <v>11.024157020634123</v>
      </c>
      <c r="E6" s="8">
        <f>('Financial Summary'!E7/'Financial Summary'!F7)*100</f>
        <v>24.873672855277356</v>
      </c>
    </row>
    <row r="7" spans="1:5" ht="23">
      <c r="A7" s="5" t="s">
        <v>5</v>
      </c>
      <c r="B7" s="7">
        <f>('Financial Summary'!B8-'Financial Summary'!B7)/'Financial Summary'!B7*100</f>
        <v>15.724710619023643</v>
      </c>
      <c r="C7" s="8">
        <f>('Financial Summary'!C8/'Financial Summary'!B8)*100</f>
        <v>18.993672399921721</v>
      </c>
      <c r="D7" s="8">
        <f>('Financial Summary'!E8/'Financial Summary'!B8)*100</f>
        <v>9.7088434190784767</v>
      </c>
      <c r="E7" s="8">
        <f>('Financial Summary'!E8/'Financial Summary'!F8)*100</f>
        <v>21.202336293271284</v>
      </c>
    </row>
    <row r="8" spans="1:5" ht="23">
      <c r="A8" s="5" t="s">
        <v>6</v>
      </c>
      <c r="B8" s="7">
        <f>('Financial Summary'!B9-'Financial Summary'!B8)/'Financial Summary'!B8*100</f>
        <v>23.299049772771752</v>
      </c>
      <c r="C8" s="8">
        <f>('Financial Summary'!C9/'Financial Summary'!B9)*100</f>
        <v>21.862655191873593</v>
      </c>
      <c r="D8" s="8">
        <f>('Financial Summary'!E9/'Financial Summary'!B9)*100</f>
        <v>11.076819977426638</v>
      </c>
      <c r="E8" s="8">
        <f>('Financial Summary'!E9/'Financial Summary'!F9)*100</f>
        <v>25.096895353018745</v>
      </c>
    </row>
    <row r="9" spans="1:5" ht="23">
      <c r="A9" s="5" t="s">
        <v>7</v>
      </c>
      <c r="B9" s="7">
        <f>('Financial Summary'!B10-'Financial Summary'!B9)/'Financial Summary'!B9*100</f>
        <v>18.876975169300238</v>
      </c>
      <c r="C9" s="8">
        <f>('Financial Summary'!C10/'Financial Summary'!B10)*100</f>
        <v>21.733325421314976</v>
      </c>
      <c r="D9" s="8">
        <f>('Financial Summary'!E10/'Financial Summary'!B10)*100</f>
        <v>12.016377877996677</v>
      </c>
      <c r="E9" s="8">
        <f>('Financial Summary'!E10/'Financial Summary'!F10)*100</f>
        <v>27.355623100303951</v>
      </c>
    </row>
    <row r="10" spans="1:5" ht="23">
      <c r="A10" s="5" t="s">
        <v>8</v>
      </c>
      <c r="B10" s="7">
        <f>('Financial Summary'!B11-'Financial Summary'!B10)/'Financial Summary'!B10*100</f>
        <v>21.592392594350805</v>
      </c>
      <c r="C10" s="8">
        <f>('Financial Summary'!C11/'Financial Summary'!B11)*100</f>
        <v>20.277442260532194</v>
      </c>
      <c r="D10" s="8">
        <f>('Financial Summary'!E11/'Financial Summary'!B11)*100</f>
        <v>10.492539316520871</v>
      </c>
      <c r="E10" s="8">
        <f>('Financial Summary'!E11/'Financial Summary'!F11)*100</f>
        <v>25.74079616881173</v>
      </c>
    </row>
    <row r="11" spans="1:5" ht="23">
      <c r="A11" s="5" t="s">
        <v>9</v>
      </c>
      <c r="B11" s="7">
        <f>('Financial Summary'!B12-'Financial Summary'!B11)/'Financial Summary'!B11*100</f>
        <v>15.10925661579007</v>
      </c>
      <c r="C11" s="8">
        <f>('Financial Summary'!C12/'Financial Summary'!B12)*100</f>
        <v>21.950883440914922</v>
      </c>
      <c r="D11" s="8">
        <f>('Financial Summary'!E12/'Financial Summary'!B12)*100</f>
        <v>13.365554813613576</v>
      </c>
      <c r="E11" s="8">
        <f>('Financial Summary'!E12/'Financial Summary'!F12)*100</f>
        <v>30.778618501342446</v>
      </c>
    </row>
    <row r="12" spans="1:5" ht="23">
      <c r="A12" s="5" t="s">
        <v>10</v>
      </c>
      <c r="B12" s="7">
        <f>('Financial Summary'!B13-'Financial Summary'!B12)/'Financial Summary'!B12*100</f>
        <v>10.30557410410505</v>
      </c>
      <c r="C12" s="8">
        <f>('Financial Summary'!C13/'Financial Summary'!B13)*100</f>
        <v>21.927548765254159</v>
      </c>
      <c r="D12" s="8">
        <f>('Financial Summary'!E13/'Financial Summary'!B13)*100</f>
        <v>12.126453348707601</v>
      </c>
      <c r="E12" s="8">
        <f>('Financial Summary'!E13/'Financial Summary'!F13)*100</f>
        <v>25.214785214785213</v>
      </c>
    </row>
    <row r="13" spans="1:5" ht="23">
      <c r="A13" s="5" t="s">
        <v>11</v>
      </c>
      <c r="B13" s="7">
        <f>('Financial Summary'!B14-'Financial Summary'!B13)/'Financial Summary'!B13*100</f>
        <v>6.1593158451042562</v>
      </c>
      <c r="C13" s="8">
        <f>('Financial Summary'!C14/'Financial Summary'!B14)*100</f>
        <v>22.21216509775525</v>
      </c>
      <c r="D13" s="8">
        <f>('Financial Summary'!E14/'Financial Summary'!B14)*100</f>
        <v>11.965966690803766</v>
      </c>
      <c r="E13" s="8">
        <f>('Financial Summary'!E14/'Financial Summary'!F14)*100</f>
        <v>22.433395554047173</v>
      </c>
    </row>
    <row r="14" spans="1:5" ht="23">
      <c r="A14" s="5" t="s">
        <v>12</v>
      </c>
      <c r="B14" s="7">
        <f>('Financial Summary'!B15-'Financial Summary'!B14)/'Financial Summary'!B14*100</f>
        <v>13.387038377986965</v>
      </c>
      <c r="C14" s="8">
        <f>('Financial Summary'!C15/'Financial Summary'!B15)*100</f>
        <v>23.676857986748622</v>
      </c>
      <c r="D14" s="8">
        <f>('Financial Summary'!E15/'Financial Summary'!B15)*100</f>
        <v>13.897980362417178</v>
      </c>
      <c r="E14" s="8">
        <f>('Financial Summary'!E15/'Financial Summary'!F15)*100</f>
        <v>25.17351069982649</v>
      </c>
    </row>
    <row r="15" spans="1:5" ht="23">
      <c r="A15" s="5" t="s">
        <v>13</v>
      </c>
      <c r="B15" s="7">
        <f>('Financial Summary'!B16-'Financial Summary'!B15)/'Financial Summary'!B15*100</f>
        <v>10.106170671349885</v>
      </c>
      <c r="C15" s="8">
        <f>('Financial Summary'!C16/'Financial Summary'!B16)*100</f>
        <v>23.620677155078663</v>
      </c>
      <c r="D15" s="8">
        <f>('Financial Summary'!E16/'Financial Summary'!B16)*100</f>
        <v>14.10860581454361</v>
      </c>
      <c r="E15" s="8">
        <f>('Financial Summary'!E16/'Financial Summary'!F16)*100</f>
        <v>24.729952980048292</v>
      </c>
    </row>
    <row r="16" spans="1:5" ht="23">
      <c r="A16" s="5" t="s">
        <v>14</v>
      </c>
      <c r="B16" s="7">
        <f>('Financial Summary'!B17-'Financial Summary'!B16)/'Financial Summary'!B16*100</f>
        <v>6.9745523091423189</v>
      </c>
      <c r="C16" s="8">
        <f>('Financial Summary'!C17/'Financial Summary'!B17)*100</f>
        <v>24.181633344628938</v>
      </c>
      <c r="D16" s="8">
        <f>('Financial Summary'!E17/'Financial Summary'!B17)*100</f>
        <v>14.618773297187392</v>
      </c>
      <c r="E16" s="8">
        <f>('Financial Summary'!E17/'Financial Summary'!F17)*100</f>
        <v>24.017370003340385</v>
      </c>
    </row>
    <row r="17" spans="1:5" ht="23">
      <c r="A17" s="5" t="s">
        <v>15</v>
      </c>
      <c r="B17" s="7">
        <f>('Financial Summary'!B18-'Financial Summary'!B17)/'Financial Summary'!B17*100</f>
        <v>5.9030837004405283</v>
      </c>
      <c r="C17" s="8">
        <f>('Financial Summary'!C18/'Financial Summary'!B18)*100</f>
        <v>24.612824779214129</v>
      </c>
      <c r="D17" s="8">
        <f>('Financial Summary'!E18/'Financial Summary'!B18)*100</f>
        <v>15.346217842058108</v>
      </c>
      <c r="E17" s="8">
        <f>('Financial Summary'!E18/'Financial Summary'!F18)*100</f>
        <v>23.218435321456234</v>
      </c>
    </row>
    <row r="18" spans="1:5" ht="23">
      <c r="A18" s="5" t="s">
        <v>16</v>
      </c>
      <c r="B18" s="7">
        <f>('Financial Summary'!B19-'Financial Summary'!B18)/'Financial Summary'!B18*100</f>
        <v>11.09688979905286</v>
      </c>
      <c r="C18" s="8">
        <f>('Financial Summary'!C19/'Financial Summary'!B19)*100</f>
        <v>25.961981566820274</v>
      </c>
      <c r="D18" s="8">
        <f>('Financial Summary'!E19/'Financial Summary'!B19)*100</f>
        <v>16.370967741935484</v>
      </c>
      <c r="E18" s="8">
        <f>('Financial Summary'!E19/'Financial Summary'!F19)*100</f>
        <v>23.600730775618668</v>
      </c>
    </row>
    <row r="19" spans="1:5" ht="23">
      <c r="A19" s="5" t="s">
        <v>17</v>
      </c>
      <c r="B19" s="7">
        <f>('Financial Summary'!B20-'Financial Summary'!B19)/'Financial Summary'!B19*100</f>
        <v>20.639400921658986</v>
      </c>
      <c r="C19" s="8">
        <f>('Financial Summary'!C20/'Financial Summary'!B20)*100</f>
        <v>26.45275270973595</v>
      </c>
      <c r="D19" s="8">
        <f>('Financial Summary'!E20/'Financial Summary'!B20)*100</f>
        <v>17.070142768466788</v>
      </c>
      <c r="E19" s="8">
        <f>('Financial Summary'!E20/'Financial Summary'!F20)*100</f>
        <v>24.928526602050066</v>
      </c>
    </row>
    <row r="20" spans="1:5" ht="23">
      <c r="A20" s="5" t="s">
        <v>18</v>
      </c>
      <c r="B20" s="7">
        <f>('Financial Summary'!B21-'Financial Summary'!B20)/'Financial Summary'!B20*100</f>
        <v>11.349854366614142</v>
      </c>
      <c r="C20" s="8">
        <f>('Financial Summary'!C21/'Financial Summary'!B21)*100</f>
        <v>26.380789022298458</v>
      </c>
      <c r="D20" s="8">
        <f>('Financial Summary'!E21/'Financial Summary'!B21)*100</f>
        <v>16.363636363636363</v>
      </c>
      <c r="E20" s="8">
        <f>('Financial Summary'!E21/'Financial Summary'!F21)*100</f>
        <v>23.643122676579925</v>
      </c>
    </row>
    <row r="21" spans="1:5" ht="23">
      <c r="A21" s="5" t="s">
        <v>19</v>
      </c>
      <c r="B21" s="7">
        <f>('Financial Summary'!B22-'Financial Summary'!B21)/'Financial Summary'!B21*100</f>
        <v>8.6663807890222984</v>
      </c>
      <c r="C21" s="8">
        <f>('Financial Summary'!C22/'Financial Summary'!B22)*100</f>
        <v>26.762953316759404</v>
      </c>
      <c r="D21" s="8">
        <f>('Financial Summary'!E22/'Financial Summary'!B22)*100</f>
        <v>17.418412848743142</v>
      </c>
      <c r="E21" s="8">
        <f>('Financial Summary'!E22/'Financial Summary'!F22)*100</f>
        <v>24.141325749288995</v>
      </c>
    </row>
    <row r="22" spans="1:5" ht="23">
      <c r="A22" s="5" t="s">
        <v>20</v>
      </c>
      <c r="B22" s="7">
        <f>('Financial Summary'!B23-'Financial Summary'!B22)/'Financial Summary'!B22*100</f>
        <v>3.1648316956710469</v>
      </c>
      <c r="C22" s="8">
        <f>('Financial Summary'!C23/'Financial Summary'!B23)*100</f>
        <v>27.29602570477757</v>
      </c>
      <c r="D22" s="8">
        <f>('Financial Summary'!E23/'Financial Summary'!B23)*100</f>
        <v>18.073671728569789</v>
      </c>
      <c r="E22" s="8">
        <f>('Financial Summary'!E23/'Financial Summary'!F23)*100</f>
        <v>23.034173450982305</v>
      </c>
    </row>
    <row r="23" spans="1:5" ht="23">
      <c r="A23" s="5" t="s">
        <v>21</v>
      </c>
      <c r="B23" s="7">
        <f>('Financial Summary'!B24-'Financial Summary'!B23)/'Financial Summary'!B23*100</f>
        <v>8.1933978502849705</v>
      </c>
      <c r="C23" s="8">
        <f>('Financial Summary'!C24/'Financial Summary'!B24)*100</f>
        <v>27.438571681103056</v>
      </c>
      <c r="D23" s="8">
        <f>('Financial Summary'!E24/'Financial Summary'!B24)*100</f>
        <v>18.370160862648046</v>
      </c>
      <c r="E23" s="8">
        <f>('Financial Summary'!E24/'Financial Summary'!F24)*100</f>
        <v>22.52568604499935</v>
      </c>
    </row>
    <row r="24" spans="1:5" ht="23">
      <c r="A24" s="5" t="s">
        <v>22</v>
      </c>
      <c r="B24" s="7">
        <f>('Financial Summary'!B25-'Financial Summary'!B24)/'Financial Summary'!B24*100</f>
        <v>-26.052678097931764</v>
      </c>
      <c r="C24" s="8">
        <f>('Financial Summary'!C25/'Financial Summary'!B25)*100</f>
        <v>27.031937272901128</v>
      </c>
      <c r="D24" s="8">
        <f>('Financial Summary'!E25/'Financial Summary'!B25)*100</f>
        <v>15.720022948938611</v>
      </c>
      <c r="E24" s="8">
        <f>('Financial Summary'!E25/'Financial Summary'!F25)*100</f>
        <v>13.767114684084913</v>
      </c>
    </row>
    <row r="25" spans="1:5" ht="23">
      <c r="A25" s="5" t="s">
        <v>23</v>
      </c>
      <c r="B25" s="7">
        <f>('Financial Summary'!B26-'Financial Summary'!B25)/'Financial Summary'!B25*100</f>
        <v>32.520558424172883</v>
      </c>
      <c r="C25" s="8">
        <f>('Financial Summary'!C26/'Financial Summary'!B26)*100</f>
        <v>28.259614690814633</v>
      </c>
      <c r="D25" s="8">
        <f>('Financial Summary'!E26/'Financial Summary'!B26)*100</f>
        <v>16.740024532794571</v>
      </c>
      <c r="E25" s="8">
        <f>('Financial Summary'!E26/'Financial Summary'!F26)*100</f>
        <v>17.259978425026969</v>
      </c>
    </row>
    <row r="26" spans="1:5" ht="23">
      <c r="A26" s="5" t="s">
        <v>24</v>
      </c>
      <c r="B26" s="7">
        <f>('Financial Summary'!B27-'Financial Summary'!B26)/'Financial Summary'!B26*100</f>
        <v>18.179522332058589</v>
      </c>
      <c r="C26" s="8">
        <f>('Financial Summary'!C27/'Financial Summary'!B27)*100</f>
        <v>28.561834111792901</v>
      </c>
      <c r="D26" s="8">
        <f>('Financial Summary'!E27/'Financial Summary'!B27)*100</f>
        <v>17.62676679793632</v>
      </c>
      <c r="E26" s="8">
        <f>('Financial Summary'!E27/'Financial Summary'!F27)*100</f>
        <v>18.958497504596792</v>
      </c>
    </row>
    <row r="27" spans="1:5" ht="23">
      <c r="A27" s="5" t="s">
        <v>25</v>
      </c>
      <c r="B27" s="7">
        <f>('Financial Summary'!B28-'Financial Summary'!B27)/'Financial Summary'!B27*100</f>
        <v>10.397777574258937</v>
      </c>
      <c r="C27" s="8">
        <f>('Financial Summary'!C28/'Financial Summary'!B28)*100</f>
        <v>28.26369493681387</v>
      </c>
      <c r="D27" s="8">
        <f>('Financial Summary'!E28/'Financial Summary'!B28)*100</f>
        <v>17.617454304122997</v>
      </c>
      <c r="E27" s="8">
        <f>('Financial Summary'!E28/'Financial Summary'!F28)*100</f>
        <v>18.762516197431971</v>
      </c>
    </row>
    <row r="28" spans="1:5" ht="23">
      <c r="A28" s="5" t="s">
        <v>26</v>
      </c>
      <c r="B28" s="7">
        <f>('Financial Summary'!B29-'Financial Summary'!B28)/'Financial Summary'!B28*100</f>
        <v>5.7268478831955312</v>
      </c>
      <c r="C28" s="8">
        <f>('Financial Summary'!C29/'Financial Summary'!B29)*100</f>
        <v>28.492964377255849</v>
      </c>
      <c r="D28" s="8">
        <f>('Financial Summary'!E29/'Financial Summary'!B29)*100</f>
        <v>17.599518752942409</v>
      </c>
      <c r="E28" s="8">
        <f>('Financial Summary'!E29/'Financial Summary'!F29)*100</f>
        <v>18.047956227872547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workbookViewId="0">
      <selection activeCell="C36" sqref="C36"/>
    </sheetView>
  </sheetViews>
  <sheetFormatPr baseColWidth="10" defaultColWidth="8.83203125" defaultRowHeight="15"/>
  <cols>
    <col min="1" max="1" width="42.6640625" customWidth="1"/>
    <col min="2" max="2" width="22.6640625" customWidth="1"/>
    <col min="3" max="3" width="25.6640625" customWidth="1"/>
    <col min="4" max="4" width="11.5" bestFit="1" customWidth="1"/>
    <col min="5" max="5" width="16.6640625" customWidth="1"/>
    <col min="6" max="6" width="22.83203125" bestFit="1" customWidth="1"/>
  </cols>
  <sheetData>
    <row r="1" spans="1:6" ht="25">
      <c r="A1" s="26" t="s">
        <v>46</v>
      </c>
      <c r="B1" s="26"/>
      <c r="C1" s="1"/>
      <c r="D1" s="1"/>
      <c r="E1" s="1"/>
    </row>
    <row r="2" spans="1:6" ht="18">
      <c r="A2" s="1"/>
      <c r="B2" s="1"/>
      <c r="C2" s="1"/>
      <c r="D2" s="1"/>
      <c r="E2" s="1"/>
    </row>
    <row r="3" spans="1:6" ht="18">
      <c r="A3" s="4" t="s">
        <v>37</v>
      </c>
      <c r="B3" s="4" t="s">
        <v>42</v>
      </c>
      <c r="C3" s="4" t="s">
        <v>43</v>
      </c>
      <c r="D3" s="4" t="s">
        <v>44</v>
      </c>
      <c r="E3" s="4" t="s">
        <v>45</v>
      </c>
      <c r="F3" s="4" t="s">
        <v>122</v>
      </c>
    </row>
    <row r="4" spans="1:6" ht="18">
      <c r="A4" s="4">
        <v>2000</v>
      </c>
      <c r="B4" s="2">
        <f>'Financial Summary'!B5/'Financial Summary'!H5</f>
        <v>2.4210185185185185</v>
      </c>
      <c r="C4" s="2">
        <f>('Financial Summary'!B5*1000)/'Financial Summary'!I5</f>
        <v>108.92767872021329</v>
      </c>
      <c r="D4" s="9">
        <f>('Financial Summary'!D5*(1-0.25))/'Financial Summary'!G5</f>
        <v>0.13518931486050481</v>
      </c>
      <c r="E4" s="2">
        <f>'Financial Summary'!B5/'Financial Summary'!G5</f>
        <v>1.2406054279749479</v>
      </c>
      <c r="F4" s="2">
        <f>'Financial Summary'!G5/'Financial Summary'!F5</f>
        <v>1.7999829191220427</v>
      </c>
    </row>
    <row r="5" spans="1:6" ht="18">
      <c r="A5" s="4">
        <v>2001</v>
      </c>
      <c r="B5" s="2">
        <f>'Financial Summary'!B6/'Financial Summary'!H6</f>
        <v>2.5309968847352025</v>
      </c>
      <c r="C5" s="2">
        <f>('Financial Summary'!B6*1000)/'Financial Summary'!I6</f>
        <v>121.60604699895225</v>
      </c>
      <c r="D5" s="9">
        <f>('Financial Summary'!D6*(1-0.25))/'Financial Summary'!G6</f>
        <v>0.14993625898168894</v>
      </c>
      <c r="E5" s="2">
        <f>'Financial Summary'!B6/'Financial Summary'!G6</f>
        <v>1.2554276442864871</v>
      </c>
      <c r="F5" s="2">
        <f>'Financial Summary'!G6/'Financial Summary'!F6</f>
        <v>1.7417575023549992</v>
      </c>
    </row>
    <row r="6" spans="1:6" ht="18">
      <c r="A6" s="4">
        <v>2002</v>
      </c>
      <c r="B6" s="2">
        <f>'Financial Summary'!B7/'Financial Summary'!H7</f>
        <v>2.5507060333761231</v>
      </c>
      <c r="C6" s="2">
        <f>('Financial Summary'!B7*1000)/'Financial Summary'!I7</f>
        <v>122.14538189641924</v>
      </c>
      <c r="D6" s="9">
        <f>('Financial Summary'!D7*(1-0.25))/'Financial Summary'!G7</f>
        <v>0.16412004778021103</v>
      </c>
      <c r="E6" s="2">
        <f>'Financial Summary'!B7/'Financial Summary'!G7</f>
        <v>1.3186011015993098</v>
      </c>
      <c r="F6" s="2">
        <f>'Financial Summary'!G7/'Financial Summary'!F7</f>
        <v>1.711122466360075</v>
      </c>
    </row>
    <row r="7" spans="1:6" ht="18">
      <c r="A7" s="4">
        <v>2003</v>
      </c>
      <c r="B7" s="2">
        <f>'Financial Summary'!B8/'Financial Summary'!H8</f>
        <v>2.3927679500520291</v>
      </c>
      <c r="C7" s="2">
        <f>('Financial Summary'!B8*1000)/'Financial Summary'!I8</f>
        <v>115.66649899396378</v>
      </c>
      <c r="D7" s="9">
        <f>('Financial Summary'!D8*(1-0.25))/'Financial Summary'!G8</f>
        <v>0.13395909298085687</v>
      </c>
      <c r="E7" s="2">
        <f>'Financial Summary'!B8/'Financial Summary'!G8</f>
        <v>1.3100786235186872</v>
      </c>
      <c r="F7" s="2">
        <f>'Financial Summary'!G8/'Financial Summary'!F8</f>
        <v>1.6669357519350396</v>
      </c>
    </row>
    <row r="8" spans="1:6" ht="18">
      <c r="A8" s="4">
        <v>2004</v>
      </c>
      <c r="B8" s="2">
        <f>'Financial Summary'!B9/'Financial Summary'!H9</f>
        <v>2.526916221033868</v>
      </c>
      <c r="C8" s="2">
        <f>('Financial Summary'!B9*1000)/'Financial Summary'!I9</f>
        <v>120.52884411001997</v>
      </c>
      <c r="D8" s="9">
        <f>('Financial Summary'!D9*(1-0.25))/'Financial Summary'!G9</f>
        <v>0.1648531787513067</v>
      </c>
      <c r="E8" s="2">
        <f>'Financial Summary'!B9/'Financial Summary'!G9</f>
        <v>1.3471443504703982</v>
      </c>
      <c r="F8" s="2">
        <f>'Financial Summary'!G9/'Financial Summary'!F9</f>
        <v>1.6818635873256884</v>
      </c>
    </row>
    <row r="9" spans="1:6" ht="18">
      <c r="A9" s="4">
        <v>2005</v>
      </c>
      <c r="B9" s="2">
        <f>'Financial Summary'!B10/'Financial Summary'!H10</f>
        <v>2.5610942249240121</v>
      </c>
      <c r="C9" s="2">
        <f>('Financial Summary'!B10*1000)/'Financial Summary'!I10</f>
        <v>121.00236949809722</v>
      </c>
      <c r="D9" s="9">
        <f>('Financial Summary'!D10*(1-0.25))/'Financial Summary'!G10</f>
        <v>0.15626236644242184</v>
      </c>
      <c r="E9" s="2">
        <f>'Financial Summary'!B10/'Financial Summary'!G10</f>
        <v>1.3337554412346657</v>
      </c>
      <c r="F9" s="2">
        <f>'Financial Summary'!G10/'Financial Summary'!F10</f>
        <v>1.706855791962175</v>
      </c>
    </row>
    <row r="10" spans="1:6" ht="18">
      <c r="A10" s="4">
        <v>2006</v>
      </c>
      <c r="B10" s="2">
        <f>'Financial Summary'!B11/'Financial Summary'!H11</f>
        <v>2.8538649025069636</v>
      </c>
      <c r="C10" s="2">
        <f>('Financial Summary'!B11*1000)/'Financial Summary'!I11</f>
        <v>126.72077922077921</v>
      </c>
      <c r="D10" s="9">
        <f>('Financial Summary'!D11*(1-0.25))/'Financial Summary'!G11</f>
        <v>0.14456131349409954</v>
      </c>
      <c r="E10" s="2">
        <f>'Financial Summary'!B11/'Financial Summary'!G11</f>
        <v>1.4017957927142124</v>
      </c>
      <c r="F10" s="2">
        <f>'Financial Summary'!G11/'Financial Summary'!F11</f>
        <v>1.7500748278958396</v>
      </c>
    </row>
    <row r="11" spans="1:6" ht="18">
      <c r="A11" s="4">
        <v>2007</v>
      </c>
      <c r="B11" s="2">
        <f>'Financial Summary'!B12/'Financial Summary'!H12</f>
        <v>3.0229734059596285</v>
      </c>
      <c r="C11" s="2">
        <f>('Financial Summary'!B12*1000)/'Financial Summary'!I12</f>
        <v>118.65009997862093</v>
      </c>
      <c r="D11" s="9">
        <f>('Financial Summary'!D12*(1-0.25))/'Financial Summary'!G12</f>
        <v>0.16406580991385397</v>
      </c>
      <c r="E11" s="2">
        <f>'Financial Summary'!B12/'Financial Summary'!G12</f>
        <v>1.3323965541590173</v>
      </c>
      <c r="F11" s="2">
        <f>'Financial Summary'!G12/'Financial Summary'!F12</f>
        <v>1.7283378081523066</v>
      </c>
    </row>
    <row r="12" spans="1:6" ht="18">
      <c r="A12" s="4">
        <v>2008</v>
      </c>
      <c r="B12" s="2">
        <f>'Financial Summary'!B13/'Financial Summary'!H13</f>
        <v>2.8195610945543215</v>
      </c>
      <c r="C12" s="2">
        <f>('Financial Summary'!B13*1000)/'Financial Summary'!I13</f>
        <v>116.78561809857258</v>
      </c>
      <c r="D12" s="9">
        <f>('Financial Summary'!D13*(1-0.25))/'Financial Summary'!G13</f>
        <v>0.15053097345132743</v>
      </c>
      <c r="E12" s="2">
        <f>'Financial Summary'!B13/'Financial Summary'!G13</f>
        <v>1.2279646017699115</v>
      </c>
      <c r="F12" s="2">
        <f>'Financial Summary'!G13/'Financial Summary'!F13</f>
        <v>1.6933066933066934</v>
      </c>
    </row>
    <row r="13" spans="1:6" ht="18">
      <c r="A13" s="4">
        <v>2009</v>
      </c>
      <c r="B13" s="2">
        <f>'Financial Summary'!B14/'Financial Summary'!H14</f>
        <v>2.5909943714821764</v>
      </c>
      <c r="C13" s="2">
        <f>('Financial Summary'!B14*1000)/'Financial Summary'!I14</f>
        <v>119.69534457914865</v>
      </c>
      <c r="D13" s="9">
        <f>('Financial Summary'!D14*(1-0.25))/'Financial Summary'!G14</f>
        <v>0.13579573624194349</v>
      </c>
      <c r="E13" s="2">
        <f>'Financial Summary'!B14/'Financial Summary'!G14</f>
        <v>1.0954883490332177</v>
      </c>
      <c r="F13" s="2">
        <f>'Financial Summary'!G14/'Financial Summary'!F14</f>
        <v>1.7113524520617682</v>
      </c>
    </row>
    <row r="14" spans="1:6" ht="18">
      <c r="A14" s="4">
        <v>2010</v>
      </c>
      <c r="B14" s="2">
        <f>'Financial Summary'!B15/'Financial Summary'!H15</f>
        <v>2.4835448057097542</v>
      </c>
      <c r="C14" s="2">
        <f>('Financial Summary'!B15*1000)/'Financial Summary'!I15</f>
        <v>125.09736563542312</v>
      </c>
      <c r="D14" s="9">
        <f>('Financial Summary'!D15*(1-0.25))/'Financial Summary'!G15</f>
        <v>0.14537836465210766</v>
      </c>
      <c r="E14" s="2">
        <f>'Financial Summary'!B15/'Financial Summary'!G15</f>
        <v>1.0603521245979346</v>
      </c>
      <c r="F14" s="2">
        <f>'Financial Summary'!G15/'Financial Summary'!F15</f>
        <v>1.7082128397917871</v>
      </c>
    </row>
    <row r="15" spans="1:6" ht="18">
      <c r="A15" s="4">
        <v>2011</v>
      </c>
      <c r="B15" s="2">
        <f>'Financial Summary'!B16/'Financial Summary'!H16</f>
        <v>2.4955672154876063</v>
      </c>
      <c r="C15" s="2">
        <f>('Financial Summary'!B16*1000)/'Financial Summary'!I16</f>
        <v>125.94966761633428</v>
      </c>
      <c r="D15" s="9">
        <f>('Financial Summary'!D16*(1-0.25))/'Financial Summary'!G16</f>
        <v>0.14212187241716132</v>
      </c>
      <c r="E15" s="2">
        <f>'Financial Summary'!B16/'Financial Summary'!G16</f>
        <v>1.0363663686227365</v>
      </c>
      <c r="F15" s="2">
        <f>'Financial Summary'!G16/'Financial Summary'!F16</f>
        <v>1.6913203710763756</v>
      </c>
    </row>
    <row r="16" spans="1:6" ht="18">
      <c r="A16" s="4">
        <v>2012</v>
      </c>
      <c r="B16" s="2">
        <f>'Financial Summary'!B17/'Financial Summary'!H17</f>
        <v>2.420042643923241</v>
      </c>
      <c r="C16" s="2">
        <f>('Financial Summary'!B17*1000)/'Financial Summary'!I17</f>
        <v>124.29449919973044</v>
      </c>
      <c r="D16" s="9">
        <f>('Financial Summary'!D17*(1-0.25))/'Financial Summary'!G17</f>
        <v>0.13796743063932448</v>
      </c>
      <c r="E16" s="2">
        <f>'Financial Summary'!B17/'Financial Summary'!G17</f>
        <v>0.98880847071438149</v>
      </c>
      <c r="F16" s="2">
        <f>'Financial Summary'!G17/'Financial Summary'!F17</f>
        <v>1.6615076272130052</v>
      </c>
    </row>
    <row r="17" spans="1:6" ht="18">
      <c r="A17" s="4">
        <v>2013</v>
      </c>
      <c r="B17" s="2">
        <f>'Financial Summary'!B18/'Financial Summary'!H18</f>
        <v>2.320807960790138</v>
      </c>
      <c r="C17" s="2">
        <f>('Financial Summary'!B18*1000)/'Financial Summary'!I18</f>
        <v>119.49132452913872</v>
      </c>
      <c r="D17" s="9">
        <f>('Financial Summary'!D18*(1-0.25))/'Financial Summary'!G18</f>
        <v>0.13299171780968838</v>
      </c>
      <c r="E17" s="2">
        <f>'Financial Summary'!B18/'Financial Summary'!G18</f>
        <v>0.93106119287374134</v>
      </c>
      <c r="F17" s="2">
        <f>'Financial Summary'!G18/'Financial Summary'!F18</f>
        <v>1.625</v>
      </c>
    </row>
    <row r="18" spans="1:6" ht="18">
      <c r="A18" s="4">
        <v>2014</v>
      </c>
      <c r="B18" s="2">
        <f>'Financial Summary'!B19/'Financial Summary'!H19</f>
        <v>2.347532116294794</v>
      </c>
      <c r="C18" s="2">
        <f>('Financial Summary'!B19*1000)/'Financial Summary'!I19</f>
        <v>122.41472925613307</v>
      </c>
      <c r="D18" s="9">
        <f>('Financial Summary'!D19*(1-0.25))/'Financial Summary'!G19</f>
        <v>0.14004512874966818</v>
      </c>
      <c r="E18" s="2">
        <f>'Financial Summary'!B19/'Financial Summary'!G19</f>
        <v>0.92168834616405626</v>
      </c>
      <c r="F18" s="2">
        <f>'Financial Summary'!G19/'Financial Summary'!F19</f>
        <v>1.5641089520013287</v>
      </c>
    </row>
    <row r="19" spans="1:6" ht="18">
      <c r="A19" s="4">
        <v>2015</v>
      </c>
      <c r="B19" s="2">
        <f>'Financial Summary'!B20/'Financial Summary'!H20</f>
        <v>2.6490007589172779</v>
      </c>
      <c r="C19" s="2">
        <f>('Financial Summary'!B20*1000)/'Financial Summary'!I20</f>
        <v>132.40816842637668</v>
      </c>
      <c r="D19" s="9">
        <f>('Financial Summary'!D20*(1-0.25))/'Financial Summary'!G20</f>
        <v>0.15100461893764433</v>
      </c>
      <c r="E19" s="2">
        <f>'Financial Summary'!B20/'Financial Summary'!G20</f>
        <v>0.96734411085450345</v>
      </c>
      <c r="F19" s="2">
        <f>'Financial Summary'!G20/'Financial Summary'!F20</f>
        <v>1.5096576249912836</v>
      </c>
    </row>
    <row r="20" spans="1:6" ht="18">
      <c r="A20" s="4">
        <v>2016</v>
      </c>
      <c r="B20" s="2">
        <f>'Financial Summary'!B21/'Financial Summary'!H21</f>
        <v>2.7620514035295511</v>
      </c>
      <c r="C20" s="2">
        <f>('Financial Summary'!B21*1000)/'Financial Summary'!I21</f>
        <v>132.80787279602714</v>
      </c>
      <c r="D20" s="9">
        <f>('Financial Summary'!D21*(1-0.25))/'Financial Summary'!G21</f>
        <v>0.14976292475980535</v>
      </c>
      <c r="E20" s="2">
        <f>'Financial Summary'!B21/'Financial Summary'!G21</f>
        <v>0.96992887742794165</v>
      </c>
      <c r="F20" s="2">
        <f>'Financial Summary'!G21/'Financial Summary'!F21</f>
        <v>1.4896530359355638</v>
      </c>
    </row>
    <row r="21" spans="1:6" ht="18">
      <c r="A21" s="4">
        <v>2017</v>
      </c>
      <c r="B21" s="2">
        <f>'Financial Summary'!B22/'Financial Summary'!H22</f>
        <v>2.8219376391982181</v>
      </c>
      <c r="C21" s="2">
        <f>('Financial Summary'!B22*1000)/'Financial Summary'!I22</f>
        <v>130.06790570192322</v>
      </c>
      <c r="D21" s="9">
        <f>('Financial Summary'!D22*(1-0.25))/'Financial Summary'!G22</f>
        <v>0.1489232437282686</v>
      </c>
      <c r="E21" s="2">
        <f>'Financial Summary'!B22/'Financial Summary'!G22</f>
        <v>0.94743335701200138</v>
      </c>
      <c r="F21" s="2">
        <f>'Financial Summary'!G22/'Financial Summary'!F22</f>
        <v>1.462863705972435</v>
      </c>
    </row>
    <row r="22" spans="1:6" ht="18">
      <c r="A22" s="4">
        <v>2018</v>
      </c>
      <c r="B22" s="2">
        <f>'Financial Summary'!B23/'Financial Summary'!H23</f>
        <v>2.7588644997889404</v>
      </c>
      <c r="C22" s="2">
        <f>('Financial Summary'!B23*1000)/'Financial Summary'!I23</f>
        <v>124.28924598269468</v>
      </c>
      <c r="D22" s="9">
        <f>('Financial Summary'!D23*(1-0.25))/'Financial Summary'!G23</f>
        <v>0.14666944647138538</v>
      </c>
      <c r="E22" s="2">
        <f>'Financial Summary'!B23/'Financial Summary'!G23</f>
        <v>0.90840543451822509</v>
      </c>
      <c r="F22" s="2">
        <f>'Financial Summary'!G23/'Financial Summary'!F23</f>
        <v>1.4029639740652269</v>
      </c>
    </row>
    <row r="23" spans="1:6" ht="18">
      <c r="A23" s="4">
        <v>2019</v>
      </c>
      <c r="B23" s="2">
        <f>'Financial Summary'!B24/'Financial Summary'!H24</f>
        <v>2.7935802469135802</v>
      </c>
      <c r="C23" s="2">
        <f>('Financial Summary'!B24*1000)/'Financial Summary'!I24</f>
        <v>119.71473314428408</v>
      </c>
      <c r="D23" s="9">
        <f>('Financial Summary'!D24*(1-0.25))/'Financial Summary'!G24</f>
        <v>0.14568499003133009</v>
      </c>
      <c r="E23" s="2">
        <f>'Financial Summary'!B24/'Financial Summary'!G24</f>
        <v>0.89512326339441117</v>
      </c>
      <c r="F23" s="2">
        <f>'Financial Summary'!G24/'Financial Summary'!F24</f>
        <v>1.369879047990636</v>
      </c>
    </row>
    <row r="24" spans="1:6" ht="18">
      <c r="A24" s="4">
        <v>2020</v>
      </c>
      <c r="B24" s="2">
        <f>'Financial Summary'!B25/'Financial Summary'!H25</f>
        <v>1.9739524348810873</v>
      </c>
      <c r="C24" s="2">
        <f>('Financial Summary'!B25*1000)/'Financial Summary'!I25</f>
        <v>85.585567153735667</v>
      </c>
      <c r="D24" s="9">
        <f>('Financial Summary'!D25*(1-0.25))/'Financial Summary'!G25</f>
        <v>0.10836335313017233</v>
      </c>
      <c r="E24" s="2">
        <f>'Financial Summary'!B25/'Financial Summary'!G25</f>
        <v>0.67880440073994741</v>
      </c>
      <c r="F24" s="2">
        <f>'Financial Summary'!G25/'Financial Summary'!F25</f>
        <v>1.2901645521919356</v>
      </c>
    </row>
    <row r="25" spans="1:6" ht="18">
      <c r="A25" s="4">
        <v>2021</v>
      </c>
      <c r="B25" s="2">
        <f>'Financial Summary'!B26/'Financial Summary'!H26</f>
        <v>2.5431690980823927</v>
      </c>
      <c r="C25" s="2">
        <f>('Financial Summary'!B26*1000)/'Financial Summary'!I26</f>
        <v>98.88408464974242</v>
      </c>
      <c r="D25" s="9">
        <f>('Financial Summary'!D26*(1-0.25))/'Financial Summary'!G26</f>
        <v>0.13430762552452613</v>
      </c>
      <c r="E25" s="2">
        <f>'Financial Summary'!B26/'Financial Summary'!G26</f>
        <v>0.80214151352915641</v>
      </c>
      <c r="F25" s="2">
        <f>'Financial Summary'!G26/'Financial Summary'!F26</f>
        <v>1.2853848156827734</v>
      </c>
    </row>
    <row r="26" spans="1:6" ht="18">
      <c r="A26" s="4">
        <v>2022</v>
      </c>
      <c r="B26" s="2">
        <f>'Financial Summary'!B27/'Financial Summary'!H27</f>
        <v>2.8341408548191729</v>
      </c>
      <c r="C26" s="2">
        <f>('Financial Summary'!B27*1000)/'Financial Summary'!I27</f>
        <v>109.51489418608539</v>
      </c>
      <c r="D26" s="9">
        <f>('Financial Summary'!D27*(1-0.25))/'Financial Summary'!G27</f>
        <v>0.14287454792623183</v>
      </c>
      <c r="E26" s="2">
        <f>'Financial Summary'!B27/'Financial Summary'!G27</f>
        <v>0.8402031446379562</v>
      </c>
      <c r="F26" s="2">
        <f>'Financial Summary'!G27/'Financial Summary'!F27</f>
        <v>1.2801090097189387</v>
      </c>
    </row>
    <row r="27" spans="1:6" ht="18">
      <c r="A27" s="4">
        <v>2023</v>
      </c>
      <c r="B27" s="2">
        <f>'Financial Summary'!B28/'Financial Summary'!H28</f>
        <v>2.9844846084014196</v>
      </c>
      <c r="C27" s="2">
        <f>('Financial Summary'!B28*1000)/'Financial Summary'!I28</f>
        <v>113.58475276321617</v>
      </c>
      <c r="D27" s="9">
        <f>('Financial Summary'!D28*(1-0.25))/'Financial Summary'!G28</f>
        <v>0.14502371345650172</v>
      </c>
      <c r="E27" s="2">
        <f>'Financial Summary'!B28/'Financial Summary'!G28</f>
        <v>0.85328331091762821</v>
      </c>
      <c r="F27" s="2">
        <f>'Financial Summary'!G28/'Financial Summary'!F28</f>
        <v>1.2481152079161268</v>
      </c>
    </row>
    <row r="28" spans="1:6" ht="18">
      <c r="A28" s="4">
        <v>2024</v>
      </c>
      <c r="B28" s="2">
        <f>'Financial Summary'!B29/'Financial Summary'!H29</f>
        <v>3.0269970706990739</v>
      </c>
      <c r="C28" s="2">
        <f>('Financial Summary'!B29*1000)/'Financial Summary'!I29</f>
        <v>114.40352121315487</v>
      </c>
      <c r="D28" s="9">
        <f>('Financial Summary'!D29*(1-0.25))/'Financial Summary'!G29</f>
        <v>0.14194938188746239</v>
      </c>
      <c r="E28" s="2">
        <f>'Financial Summary'!B29/'Financial Summary'!G29</f>
        <v>0.82777284634869774</v>
      </c>
      <c r="F28" s="2">
        <f>'Financial Summary'!G29/'Financial Summary'!F29</f>
        <v>1.2388423988842399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26ED6-20A7-8544-8FAA-D68D8DA5665B}">
  <dimension ref="A1:E23"/>
  <sheetViews>
    <sheetView zoomScale="99" workbookViewId="0">
      <selection activeCell="E39" sqref="E39"/>
    </sheetView>
  </sheetViews>
  <sheetFormatPr baseColWidth="10" defaultRowHeight="15"/>
  <cols>
    <col min="1" max="1" width="22.83203125" customWidth="1"/>
    <col min="2" max="2" width="19" customWidth="1"/>
    <col min="3" max="3" width="24.1640625" customWidth="1"/>
    <col min="4" max="4" width="20" bestFit="1" customWidth="1"/>
    <col min="5" max="5" width="107" customWidth="1"/>
  </cols>
  <sheetData>
    <row r="1" spans="1:5">
      <c r="A1" s="10" t="s">
        <v>123</v>
      </c>
      <c r="B1" s="11" t="s">
        <v>124</v>
      </c>
      <c r="C1" s="11" t="s">
        <v>125</v>
      </c>
      <c r="D1" s="10" t="s">
        <v>127</v>
      </c>
      <c r="E1" s="10" t="s">
        <v>126</v>
      </c>
    </row>
    <row r="2" spans="1:5" ht="22">
      <c r="A2" s="12">
        <v>2003</v>
      </c>
      <c r="B2" s="13">
        <f>('Financial Summary'!B8/'Financial Summary'!B5)^(1/3)-1</f>
        <v>0.20710217684860655</v>
      </c>
      <c r="C2" s="13">
        <f>('Financial Summary'!E8/'Financial Summary'!E5)^(1/3)-1</f>
        <v>0.19875055709597667</v>
      </c>
      <c r="D2" s="14" t="s">
        <v>128</v>
      </c>
      <c r="E2" s="16" t="s">
        <v>133</v>
      </c>
    </row>
    <row r="3" spans="1:5" ht="22">
      <c r="A3" s="12">
        <v>2004</v>
      </c>
      <c r="B3" s="13">
        <f>('Financial Summary'!B9/'Financial Summary'!B6)^(1/3)-1</f>
        <v>0.20388689567018337</v>
      </c>
      <c r="C3" s="13">
        <f>('Financial Summary'!E9/'Financial Summary'!E6)^(1/3)-1</f>
        <v>0.2265344400360243</v>
      </c>
      <c r="D3" s="14" t="s">
        <v>128</v>
      </c>
      <c r="E3" s="16" t="s">
        <v>133</v>
      </c>
    </row>
    <row r="4" spans="1:5" ht="22">
      <c r="A4" s="12">
        <v>2005</v>
      </c>
      <c r="B4" s="13">
        <f>('Financial Summary'!B10/'Financial Summary'!B7)^(1/3)-1</f>
        <v>0.19259923474555141</v>
      </c>
      <c r="C4" s="13">
        <f>('Financial Summary'!E10/'Financial Summary'!E7)^(1/3)-1</f>
        <v>0.22735610893134162</v>
      </c>
      <c r="D4" s="14" t="s">
        <v>128</v>
      </c>
      <c r="E4" s="16" t="s">
        <v>133</v>
      </c>
    </row>
    <row r="5" spans="1:5" ht="22">
      <c r="A5" s="12">
        <v>2006</v>
      </c>
      <c r="B5" s="13">
        <f>('Financial Summary'!B11/'Financial Summary'!B8)^(1/3)-1</f>
        <v>0.2124242845583455</v>
      </c>
      <c r="C5" s="13">
        <f>('Financial Summary'!E11/'Financial Summary'!E8)^(1/3)-1</f>
        <v>0.24420610888547523</v>
      </c>
      <c r="D5" s="14" t="s">
        <v>128</v>
      </c>
      <c r="E5" s="16" t="s">
        <v>133</v>
      </c>
    </row>
    <row r="6" spans="1:5" ht="22">
      <c r="A6" s="12">
        <v>2007</v>
      </c>
      <c r="B6" s="13">
        <f>('Financial Summary'!B12/'Financial Summary'!B9)^(1/3)-1</f>
        <v>0.18496302702159428</v>
      </c>
      <c r="C6" s="13">
        <f>('Financial Summary'!E12/'Financial Summary'!E9)^(1/3)-1</f>
        <v>0.26152374973038062</v>
      </c>
      <c r="D6" s="14" t="s">
        <v>128</v>
      </c>
      <c r="E6" s="16" t="s">
        <v>133</v>
      </c>
    </row>
    <row r="7" spans="1:5" ht="22">
      <c r="A7" s="12">
        <v>2008</v>
      </c>
      <c r="B7" s="13">
        <f>('Financial Summary'!B13/'Financial Summary'!B10)^(1/3)-1</f>
        <v>0.15576987627958805</v>
      </c>
      <c r="C7" s="13">
        <f>('Financial Summary'!E13/'Financial Summary'!E10)^(1/3)-1</f>
        <v>0.15928828005870654</v>
      </c>
      <c r="D7" s="14" t="s">
        <v>129</v>
      </c>
      <c r="E7" s="17" t="s">
        <v>134</v>
      </c>
    </row>
    <row r="8" spans="1:5" ht="22">
      <c r="A8" s="12">
        <v>2009</v>
      </c>
      <c r="B8" s="13">
        <f>('Financial Summary'!B14/'Financial Summary'!B11)^(1/3)-1</f>
        <v>0.1046429873485224</v>
      </c>
      <c r="C8" s="13">
        <f>('Financial Summary'!E14/'Financial Summary'!E11)^(1/3)-1</f>
        <v>0.15410237469068733</v>
      </c>
      <c r="D8" s="14" t="s">
        <v>129</v>
      </c>
      <c r="E8" s="17" t="s">
        <v>134</v>
      </c>
    </row>
    <row r="9" spans="1:5" ht="22">
      <c r="A9" s="12">
        <v>2010</v>
      </c>
      <c r="B9" s="13">
        <f>('Financial Summary'!B15/'Financial Summary'!B12)^(1/3)-1</f>
        <v>9.9106207650539346E-2</v>
      </c>
      <c r="C9" s="13">
        <f>('Financial Summary'!E15/'Financial Summary'!E12)^(1/3)-1</f>
        <v>0.11351112787628015</v>
      </c>
      <c r="D9" s="14" t="s">
        <v>129</v>
      </c>
      <c r="E9" s="17" t="s">
        <v>134</v>
      </c>
    </row>
    <row r="10" spans="1:5" ht="22">
      <c r="A10" s="12">
        <v>2011</v>
      </c>
      <c r="B10" s="13">
        <f>('Financial Summary'!B16/'Financial Summary'!B13)^(1/3)-1</f>
        <v>9.844350995861495E-2</v>
      </c>
      <c r="C10" s="13">
        <f>('Financial Summary'!E16/'Financial Summary'!E13)^(1/3)-1</f>
        <v>0.15529925603490136</v>
      </c>
      <c r="D10" s="14" t="s">
        <v>129</v>
      </c>
      <c r="E10" s="17" t="s">
        <v>134</v>
      </c>
    </row>
    <row r="11" spans="1:5" ht="22">
      <c r="A11" s="12">
        <v>2012</v>
      </c>
      <c r="B11" s="13">
        <f>('Financial Summary'!B17/'Financial Summary'!B14)^(1/3)-1</f>
        <v>0.10124812695270102</v>
      </c>
      <c r="C11" s="13">
        <f>('Financial Summary'!E17/'Financial Summary'!E14)^(1/3)-1</f>
        <v>0.17726137839322154</v>
      </c>
      <c r="D11" s="14" t="s">
        <v>129</v>
      </c>
      <c r="E11" s="17" t="s">
        <v>134</v>
      </c>
    </row>
    <row r="12" spans="1:5" ht="22">
      <c r="A12" s="12">
        <v>2013</v>
      </c>
      <c r="B12" s="13">
        <f>('Financial Summary'!B18/'Financial Summary'!B15)^(1/3)-1</f>
        <v>7.6465827138059606E-2</v>
      </c>
      <c r="C12" s="13">
        <f>('Financial Summary'!E18/'Financial Summary'!E15)^(1/3)-1</f>
        <v>0.11262838643822204</v>
      </c>
      <c r="D12" s="14" t="s">
        <v>130</v>
      </c>
      <c r="E12" s="14" t="s">
        <v>135</v>
      </c>
    </row>
    <row r="13" spans="1:5" ht="22">
      <c r="A13" s="12">
        <v>2014</v>
      </c>
      <c r="B13" s="13">
        <f>('Financial Summary'!B19/'Financial Summary'!B16)^(1/3)-1</f>
        <v>7.9684818742288721E-2</v>
      </c>
      <c r="C13" s="13">
        <f>('Financial Summary'!E19/'Financial Summary'!E16)^(1/3)-1</f>
        <v>0.13455898426309254</v>
      </c>
      <c r="D13" s="14" t="s">
        <v>130</v>
      </c>
      <c r="E13" s="14" t="s">
        <v>135</v>
      </c>
    </row>
    <row r="14" spans="1:5" ht="22">
      <c r="A14" s="12">
        <v>2015</v>
      </c>
      <c r="B14" s="13">
        <f>('Financial Summary'!B20/'Financial Summary'!B17)^(1/3)-1</f>
        <v>0.12382811564512441</v>
      </c>
      <c r="C14" s="13">
        <f>('Financial Summary'!E20/'Financial Summary'!E17)^(1/3)-1</f>
        <v>0.18342834472505087</v>
      </c>
      <c r="D14" s="14" t="s">
        <v>130</v>
      </c>
      <c r="E14" s="14" t="s">
        <v>135</v>
      </c>
    </row>
    <row r="15" spans="1:5" ht="22">
      <c r="A15" s="12">
        <v>2016</v>
      </c>
      <c r="B15" s="13">
        <f>('Financial Summary'!B21/'Financial Summary'!B18)^(1/3)-1</f>
        <v>0.14277371353455393</v>
      </c>
      <c r="C15" s="13">
        <f>('Financial Summary'!E21/'Financial Summary'!E18)^(1/3)-1</f>
        <v>0.16748971254045153</v>
      </c>
      <c r="D15" s="14" t="s">
        <v>130</v>
      </c>
      <c r="E15" s="14" t="s">
        <v>135</v>
      </c>
    </row>
    <row r="16" spans="1:5" ht="22">
      <c r="A16" s="12">
        <v>2017</v>
      </c>
      <c r="B16" s="13">
        <f>('Financial Summary'!B22/'Financial Summary'!B19)^(1/3)-1</f>
        <v>0.13437855920849495</v>
      </c>
      <c r="C16" s="13">
        <f>('Financial Summary'!E22/'Financial Summary'!E19)^(1/3)-1</f>
        <v>0.15807339663891251</v>
      </c>
      <c r="D16" s="14" t="s">
        <v>130</v>
      </c>
      <c r="E16" s="14" t="s">
        <v>135</v>
      </c>
    </row>
    <row r="17" spans="1:5" ht="22">
      <c r="A17" s="12">
        <v>2018</v>
      </c>
      <c r="B17" s="13">
        <f>('Financial Summary'!B23/'Financial Summary'!B20)^(1/3)-1</f>
        <v>7.672676819910329E-2</v>
      </c>
      <c r="C17" s="13">
        <f>('Financial Summary'!E23/'Financial Summary'!E20)^(1/3)-1</f>
        <v>9.7426026200019278E-2</v>
      </c>
      <c r="D17" s="14" t="s">
        <v>130</v>
      </c>
      <c r="E17" s="14" t="s">
        <v>135</v>
      </c>
    </row>
    <row r="18" spans="1:5" ht="22">
      <c r="A18" s="12">
        <v>2019</v>
      </c>
      <c r="B18" s="13">
        <f>('Financial Summary'!B24/'Financial Summary'!B21)^(1/3)-1</f>
        <v>6.645502682990756E-2</v>
      </c>
      <c r="C18" s="13">
        <f>('Financial Summary'!E24/'Financial Summary'!E21)^(1/3)-1</f>
        <v>0.10837552059211508</v>
      </c>
      <c r="D18" s="14" t="s">
        <v>130</v>
      </c>
      <c r="E18" s="14" t="s">
        <v>135</v>
      </c>
    </row>
    <row r="19" spans="1:5" ht="25">
      <c r="A19" s="12">
        <v>2020</v>
      </c>
      <c r="B19" s="13">
        <f>('Financial Summary'!B25/'Financial Summary'!B22)^(1/3)-1</f>
        <v>-6.1966616348593684E-2</v>
      </c>
      <c r="C19" s="13">
        <f>('Financial Summary'!E25/'Financial Summary'!E22)^(1/3)-1</f>
        <v>-9.3502744962123407E-2</v>
      </c>
      <c r="D19" s="15" t="s">
        <v>132</v>
      </c>
      <c r="E19" s="18" t="s">
        <v>137</v>
      </c>
    </row>
    <row r="20" spans="1:5" ht="22">
      <c r="A20" s="12">
        <v>2021</v>
      </c>
      <c r="B20" s="13">
        <f>('Financial Summary'!B26/'Financial Summary'!B23)^(1/3)-1</f>
        <v>1.9691554957893764E-2</v>
      </c>
      <c r="C20" s="13">
        <f>('Financial Summary'!E26/'Financial Summary'!E23)^(1/3)-1</f>
        <v>-6.0327940805057212E-3</v>
      </c>
      <c r="D20" s="14" t="s">
        <v>131</v>
      </c>
      <c r="E20" s="14" t="s">
        <v>136</v>
      </c>
    </row>
    <row r="21" spans="1:5" ht="22">
      <c r="A21" s="12">
        <v>2022</v>
      </c>
      <c r="B21" s="13">
        <f>('Financial Summary'!B27/'Financial Summary'!B24)^(1/3)-1</f>
        <v>5.01451054643689E-2</v>
      </c>
      <c r="C21" s="13">
        <f>('Financial Summary'!E27/'Financial Summary'!E24)^(1/3)-1</f>
        <v>3.5784034097946282E-2</v>
      </c>
      <c r="D21" s="14" t="s">
        <v>131</v>
      </c>
      <c r="E21" s="14" t="s">
        <v>136</v>
      </c>
    </row>
    <row r="22" spans="1:5" ht="22">
      <c r="A22" s="12">
        <v>2023</v>
      </c>
      <c r="B22" s="13">
        <f>('Financial Summary'!B28/'Financial Summary'!B25)^(1/3)-1</f>
        <v>0.20022298470565847</v>
      </c>
      <c r="C22" s="13">
        <f>('Financial Summary'!E28/'Financial Summary'!E25)^(1/3)-1</f>
        <v>0.24669035258819405</v>
      </c>
      <c r="D22" s="14" t="s">
        <v>131</v>
      </c>
      <c r="E22" s="14" t="s">
        <v>136</v>
      </c>
    </row>
    <row r="23" spans="1:5" ht="22">
      <c r="A23" s="12">
        <v>2024</v>
      </c>
      <c r="B23" s="13">
        <f>('Financial Summary'!B29/'Financial Summary'!B26)^(1/3)-1</f>
        <v>0.11317287478252402</v>
      </c>
      <c r="C23" s="13">
        <f>('Financial Summary'!E29/'Financial Summary'!E26)^(1/3)-1</f>
        <v>0.13190726983948364</v>
      </c>
      <c r="D23" s="14" t="s">
        <v>131</v>
      </c>
      <c r="E23" s="14" t="s">
        <v>136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E723D-3FA0-D24A-8D19-EE2C80223A91}">
  <dimension ref="A1:D17"/>
  <sheetViews>
    <sheetView workbookViewId="0">
      <selection activeCell="I13" sqref="I13"/>
    </sheetView>
  </sheetViews>
  <sheetFormatPr baseColWidth="10" defaultRowHeight="15"/>
  <cols>
    <col min="1" max="1" width="42.1640625" bestFit="1" customWidth="1"/>
    <col min="2" max="2" width="14.6640625" bestFit="1" customWidth="1"/>
    <col min="3" max="3" width="34.6640625" bestFit="1" customWidth="1"/>
    <col min="4" max="4" width="21.6640625" customWidth="1"/>
  </cols>
  <sheetData>
    <row r="1" spans="1:4">
      <c r="A1" s="19" t="s">
        <v>138</v>
      </c>
    </row>
    <row r="2" spans="1:4">
      <c r="A2" s="21" t="s">
        <v>47</v>
      </c>
      <c r="B2" s="20" t="s">
        <v>139</v>
      </c>
      <c r="C2" s="20"/>
    </row>
    <row r="3" spans="1:4">
      <c r="A3" s="21" t="s">
        <v>140</v>
      </c>
      <c r="B3" s="3">
        <v>55.5</v>
      </c>
      <c r="C3" s="3"/>
    </row>
    <row r="4" spans="1:4">
      <c r="A4" s="21" t="s">
        <v>141</v>
      </c>
      <c r="B4" s="3">
        <v>1.98</v>
      </c>
      <c r="C4" s="3"/>
    </row>
    <row r="5" spans="1:4">
      <c r="A5" s="21" t="s">
        <v>142</v>
      </c>
      <c r="B5" s="3">
        <f>B3/B4</f>
        <v>28.030303030303031</v>
      </c>
      <c r="C5" s="3"/>
    </row>
    <row r="6" spans="1:4">
      <c r="A6" s="21" t="s">
        <v>143</v>
      </c>
      <c r="B6" s="3">
        <v>13.2</v>
      </c>
      <c r="C6" s="3"/>
    </row>
    <row r="7" spans="1:4">
      <c r="A7" s="21" t="s">
        <v>144</v>
      </c>
      <c r="B7" s="3">
        <f>B5/B6</f>
        <v>2.1235078053259873</v>
      </c>
      <c r="C7" s="3"/>
    </row>
    <row r="8" spans="1:4">
      <c r="A8" s="21" t="s">
        <v>145</v>
      </c>
      <c r="B8" s="3" t="str">
        <f>IF(B7&gt;2, "Overvalued", IF(B7&lt;1, "Undervalued", "Fair Value"))</f>
        <v>Overvalued</v>
      </c>
      <c r="C8" s="3"/>
    </row>
    <row r="11" spans="1:4">
      <c r="A11" s="19" t="s">
        <v>146</v>
      </c>
    </row>
    <row r="13" spans="1:4">
      <c r="A13" s="19" t="s">
        <v>147</v>
      </c>
      <c r="B13" s="20" t="s">
        <v>148</v>
      </c>
      <c r="C13" s="20" t="s">
        <v>149</v>
      </c>
      <c r="D13" s="27" t="s">
        <v>150</v>
      </c>
    </row>
    <row r="14" spans="1:4">
      <c r="A14" s="19" t="s">
        <v>151</v>
      </c>
      <c r="B14" s="28">
        <v>1</v>
      </c>
      <c r="C14" s="28">
        <f>B14*$B$6</f>
        <v>13.2</v>
      </c>
      <c r="D14" s="29">
        <f>C14*$B$4</f>
        <v>26.135999999999999</v>
      </c>
    </row>
    <row r="15" spans="1:4">
      <c r="A15" s="19" t="s">
        <v>152</v>
      </c>
      <c r="B15" s="28">
        <v>1.5</v>
      </c>
      <c r="C15" s="28">
        <f t="shared" ref="C15:C17" si="0">B15*$B$6</f>
        <v>19.799999999999997</v>
      </c>
      <c r="D15" s="29">
        <f t="shared" ref="D15:D17" si="1">C15*$B$4</f>
        <v>39.203999999999994</v>
      </c>
    </row>
    <row r="16" spans="1:4">
      <c r="A16" s="19" t="s">
        <v>153</v>
      </c>
      <c r="B16" s="28">
        <v>2</v>
      </c>
      <c r="C16" s="28">
        <f t="shared" si="0"/>
        <v>26.4</v>
      </c>
      <c r="D16" s="29">
        <f t="shared" si="1"/>
        <v>52.271999999999998</v>
      </c>
    </row>
    <row r="17" spans="1:4">
      <c r="A17" s="19" t="s">
        <v>154</v>
      </c>
      <c r="B17" s="28">
        <v>2.12</v>
      </c>
      <c r="C17" s="28">
        <f t="shared" si="0"/>
        <v>27.983999999999998</v>
      </c>
      <c r="D17" s="29">
        <f t="shared" si="1"/>
        <v>55.408319999999996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Insights</vt:lpstr>
      <vt:lpstr>Financial Summary</vt:lpstr>
      <vt:lpstr>Key Metrics</vt:lpstr>
      <vt:lpstr>Operational Efficiency</vt:lpstr>
      <vt:lpstr>CAGR (3-Year Rolling)</vt:lpstr>
      <vt:lpstr>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Shrey Jain</cp:lastModifiedBy>
  <dcterms:created xsi:type="dcterms:W3CDTF">2026-02-03T04:03:45Z</dcterms:created>
  <dcterms:modified xsi:type="dcterms:W3CDTF">2026-02-06T06:06:43Z</dcterms:modified>
</cp:coreProperties>
</file>